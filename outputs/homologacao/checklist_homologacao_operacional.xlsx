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b2802105984c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ecklist" sheetId="1" r:id="R5a2b787c34184782"/>
    <x:sheet xmlns:r="http://schemas.openxmlformats.org/officeDocument/2006/relationships" name="Listas" sheetId="2" r:id="R3b0809f9279444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6">
    <x:font>
      <x:sz val="11"/>
      <x:name val="Carlito"/>
    </x:font>
    <x:font>
      <x:b/>
      <x:sz val="14"/>
      <x:color rgb="FFFFFF"/>
      <x:name val="Carlito"/>
    </x:font>
    <x:font>
      <x:sz val="10"/>
      <x:color rgb="EAF4FF"/>
      <x:name val="Carlito"/>
    </x:font>
    <x:font>
      <x:b/>
      <x:sz val="13"/>
      <x:color rgb="173A5F"/>
      <x:name val="Carlito"/>
    </x:font>
    <x:font>
      <x:b/>
      <x:sz val="11"/>
      <x:color rgb="FFFFFF"/>
      <x:name val="Carlito"/>
    </x:font>
    <x:font>
      <x:b/>
      <x:sz val="13"/>
      <x:color rgb="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123A63"/>
      </x:patternFill>
    </x:fill>
    <x:fill>
      <x:patternFill patternType="solid">
        <x:fgColor rgb="1D4E7A"/>
      </x:patternFill>
    </x:fill>
    <x:fill>
      <x:patternFill patternType="solid">
        <x:fgColor rgb="E8F2FD"/>
      </x:patternFill>
    </x:fill>
    <x:fill>
      <x:patternFill patternType="solid">
        <x:fgColor rgb="EAF8EE"/>
      </x:patternFill>
    </x:fill>
    <x:fill>
      <x:patternFill patternType="solid">
        <x:fgColor rgb="FFF0F0"/>
      </x:patternFill>
    </x:fill>
    <x:fill>
      <x:patternFill patternType="solid">
        <x:fgColor rgb="FFF7E6"/>
      </x:patternFill>
    </x:fill>
    <x:fill>
      <x:patternFill patternType="solid">
        <x:fgColor rgb="2F79C8"/>
      </x:patternFill>
    </x:fill>
  </x:fills>
  <x:borders count="1">
    <x:border/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horizontal="center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fc90eb485840f7" /><Relationship Type="http://schemas.openxmlformats.org/officeDocument/2006/relationships/theme" Target="/xl/theme/theme1.xml" Id="R4aa993b7146e4437" /><Relationship Type="http://schemas.openxmlformats.org/officeDocument/2006/relationships/sharedStrings" Target="/xl/sharedStrings.xml" Id="R612fc8ebc86e4ad6" /><Relationship Type="http://schemas.openxmlformats.org/officeDocument/2006/relationships/worksheet" Target="/xl/worksheets/sheet1.xml" Id="R5a2b787c34184782" /><Relationship Type="http://schemas.openxmlformats.org/officeDocument/2006/relationships/worksheet" Target="/xl/worksheets/sheet2.xml" Id="R3b0809f9279444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34" hidden="0" customWidth="1"/>
    <x:col min="4" max="4" width="48" hidden="0" customWidth="1"/>
    <x:col min="5" max="5" width="12" hidden="0" customWidth="1"/>
    <x:col min="6" max="6" width="14" hidden="0" customWidth="1"/>
    <x:col min="7" max="7" width="18" hidden="0" customWidth="1"/>
    <x:col min="8" max="8" width="14" hidden="0" customWidth="1"/>
    <x:col min="9" max="9" width="28" hidden="0" customWidth="1"/>
  </x:cols>
  <x:sheetData>
    <x:row r="1">
      <x:c r="A1" s="4" t="str">
        <x:v>Checklist de Homologacao Operacional - CSPdv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9" t="str">
        <x:v>Use esta planilha para validar o fluxo inicial de setup, administracao, vendas, caixa e estoque. Atualize os campos de status, responsavel, data e evidencias durante os testes.</x:v>
      </x:c>
      <x:c r="B2" s="9"/>
      <x:c r="C2" s="9"/>
      <x:c r="D2" s="9"/>
      <x:c r="E2" s="9"/>
      <x:c r="F2" s="9"/>
      <x:c r="G2" s="9"/>
      <x:c r="H2" s="9"/>
      <x:c r="I2" s="9"/>
    </x:row>
    <x:row r="4">
      <x:c r="A4" s="14" t="n">
        <x:f>COUNTIF($A$9:$A$57,"&lt;&gt;")</x:f>
        <x:v>49</x:v>
      </x:c>
      <x:c r="B4" s="15" t="n">
        <x:f>COUNTIF($F$9:$F$57,"Aprovado")</x:f>
        <x:v>0</x:v>
      </x:c>
      <x:c r="C4" s="16" t="n">
        <x:f>COUNTIF($F$9:$F$57,"Falhou")</x:f>
        <x:v>0</x:v>
      </x:c>
      <x:c r="D4" s="17" t="n">
        <x:f>COUNTIF($F$9:$F$57,"Bloqueado")</x:f>
        <x:v>0</x:v>
      </x:c>
    </x:row>
    <x:row r="5">
      <x:c r="A5" s="14" t="str">
        <x:v>Total de cenarios</x:v>
      </x:c>
      <x:c r="B5" s="15" t="str">
        <x:v>Aprovados</x:v>
      </x:c>
      <x:c r="C5" s="16" t="str">
        <x:v>Falhou</x:v>
      </x:c>
      <x:c r="D5" s="17" t="str">
        <x:v>Bloqueado</x:v>
      </x:c>
    </x:row>
    <x:row r="8">
      <x:c r="A8" s="22" t="str">
        <x:v>ID</x:v>
      </x:c>
      <x:c r="B8" s="22" t="str">
        <x:v>Area</x:v>
      </x:c>
      <x:c r="C8" s="22" t="str">
        <x:v>Cenario</x:v>
      </x:c>
      <x:c r="D8" s="22" t="str">
        <x:v>Resultado Esperado</x:v>
      </x:c>
      <x:c r="E8" s="22" t="str">
        <x:v>Prioridade</x:v>
      </x:c>
      <x:c r="F8" s="22" t="str">
        <x:v>Status</x:v>
      </x:c>
      <x:c r="G8" s="22" t="str">
        <x:v>Responsavel</x:v>
      </x:c>
      <x:c r="H8" s="22" t="str">
        <x:v>Data do Teste</x:v>
      </x:c>
      <x:c r="I8" s="22" t="str">
        <x:v>Evidencias / Observacoes</x:v>
      </x:c>
    </x:row>
    <x:row r="9">
      <x:c r="A9" s="25" t="n">
        <x:v>1</x:v>
      </x:c>
      <x:c r="B9" s="24" t="str">
        <x:v>SETUP E ACESSO</x:v>
      </x:c>
      <x:c r="C9" s="24" t="str">
        <x:v>Executar o wizard inicial em banco limpo</x:v>
      </x:c>
      <x:c r="D9" s="24" t="str">
        <x:v>Empresa, PDV, usuario admin, perfil, permissoes e formas de pagamento padrao devem ser criados sem erro.</x:v>
      </x:c>
      <x:c r="E9" s="25" t="str">
        <x:v>Alta</x:v>
      </x:c>
      <x:c r="F9" s="25" t="str">
        <x:v>Pendente</x:v>
      </x:c>
      <x:c r="G9" s="24" t="str"/>
      <x:c r="H9" s="26" t="str"/>
      <x:c r="I9" s="24" t="str"/>
    </x:row>
    <x:row r="10">
      <x:c r="A10" s="25" t="n">
        <x:v>2</x:v>
      </x:c>
      <x:c r="B10" s="24" t="str">
        <x:v>SETUP E ACESSO</x:v>
      </x:c>
      <x:c r="C10" s="24" t="str">
        <x:v>Validar login com usuario admin</x:v>
      </x:c>
      <x:c r="D10" s="24" t="str">
        <x:v>O sistema deve autenticar e liberar acesso ao painel administrativo.</x:v>
      </x:c>
      <x:c r="E10" s="25" t="str">
        <x:v>Alta</x:v>
      </x:c>
      <x:c r="F10" s="25" t="str">
        <x:v>Pendente</x:v>
      </x:c>
      <x:c r="G10" s="24" t="str"/>
      <x:c r="H10" s="26" t="str"/>
      <x:c r="I10" s="24" t="str"/>
    </x:row>
    <x:row r="11">
      <x:c r="A11" s="25" t="n">
        <x:v>3</x:v>
      </x:c>
      <x:c r="B11" s="24" t="str">
        <x:v>SETUP E ACESSO</x:v>
      </x:c>
      <x:c r="C11" s="24" t="str">
        <x:v>Validar login com usuario operacional</x:v>
      </x:c>
      <x:c r="D11" s="24" t="str">
        <x:v>O sistema deve autenticar e liberar apenas os modulos permitidos.</x:v>
      </x:c>
      <x:c r="E11" s="25" t="str">
        <x:v>Alta</x:v>
      </x:c>
      <x:c r="F11" s="25" t="str">
        <x:v>Pendente</x:v>
      </x:c>
      <x:c r="G11" s="24" t="str"/>
      <x:c r="H11" s="26" t="str"/>
      <x:c r="I11" s="24" t="str"/>
    </x:row>
    <x:row r="12">
      <x:c r="A12" s="25" t="n">
        <x:v>4</x:v>
      </x:c>
      <x:c r="B12" s="24" t="str">
        <x:v>SETUP E ACESSO</x:v>
      </x:c>
      <x:c r="C12" s="24" t="str">
        <x:v>Restaurar sessao persistida</x:v>
      </x:c>
      <x:c r="D12" s="24" t="str">
        <x:v>Ao reabrir o programa dentro do prazo da sessao, o usuario deve ser restaurado sem novo login.</x:v>
      </x:c>
      <x:c r="E12" s="25" t="str">
        <x:v>Media</x:v>
      </x:c>
      <x:c r="F12" s="25" t="str">
        <x:v>Pendente</x:v>
      </x:c>
      <x:c r="G12" s="24" t="str"/>
      <x:c r="H12" s="26" t="str"/>
      <x:c r="I12" s="24" t="str"/>
    </x:row>
    <x:row r="13">
      <x:c r="A13" s="25" t="n">
        <x:v>5</x:v>
      </x:c>
      <x:c r="B13" s="24" t="str">
        <x:v>PAINEL ADMIN</x:v>
      </x:c>
      <x:c r="C13" s="24" t="str">
        <x:v>Abrir dashboard administrativo</x:v>
      </x:c>
      <x:c r="D13" s="24" t="str">
        <x:v>Os cards e atalhos devem carregar sem excecoes e com valores coerentes.</x:v>
      </x:c>
      <x:c r="E13" s="25" t="str">
        <x:v>Alta</x:v>
      </x:c>
      <x:c r="F13" s="25" t="str">
        <x:v>Pendente</x:v>
      </x:c>
      <x:c r="G13" s="24" t="str"/>
      <x:c r="H13" s="26" t="str"/>
      <x:c r="I13" s="24" t="str"/>
    </x:row>
    <x:row r="14">
      <x:c r="A14" s="25" t="n">
        <x:v>6</x:v>
      </x:c>
      <x:c r="B14" s="24" t="str">
        <x:v>PAINEL ADMIN</x:v>
      </x:c>
      <x:c r="C14" s="24" t="str">
        <x:v>Abrir caixa pelo painel admin</x:v>
      </x:c>
      <x:c r="D14" s="24" t="str">
        <x:v>O modal de abertura deve abrir, concluir com sucesso e manter o usuario no admin.</x:v>
      </x:c>
      <x:c r="E14" s="25" t="str">
        <x:v>Alta</x:v>
      </x:c>
      <x:c r="F14" s="25" t="str">
        <x:v>Pendente</x:v>
      </x:c>
      <x:c r="G14" s="24" t="str"/>
      <x:c r="H14" s="26" t="str"/>
      <x:c r="I14" s="24" t="str"/>
    </x:row>
    <x:row r="15">
      <x:c r="A15" s="25" t="n">
        <x:v>7</x:v>
      </x:c>
      <x:c r="B15" s="24" t="str">
        <x:v>PAINEL ADMIN</x:v>
      </x:c>
      <x:c r="C15" s="24" t="str">
        <x:v>Usar Venda Rapida com caixa aberto</x:v>
      </x:c>
      <x:c r="D15" s="24" t="str">
        <x:v>A janela de venda rapida deve abrir e permitir venda sem sair do painel admin.</x:v>
      </x:c>
      <x:c r="E15" s="25" t="str">
        <x:v>Alta</x:v>
      </x:c>
      <x:c r="F15" s="25" t="str">
        <x:v>Pendente</x:v>
      </x:c>
      <x:c r="G15" s="24" t="str"/>
      <x:c r="H15" s="26" t="str"/>
      <x:c r="I15" s="24" t="str"/>
    </x:row>
    <x:row r="16">
      <x:c r="A16" s="25" t="n">
        <x:v>8</x:v>
      </x:c>
      <x:c r="B16" s="24" t="str">
        <x:v>PAINEL ADMIN</x:v>
      </x:c>
      <x:c r="C16" s="24" t="str">
        <x:v>Cadastrar novo produto</x:v>
      </x:c>
      <x:c r="D16" s="24" t="str">
        <x:v>A tela deve abrir, salvar corretamente e retornar ao modulo de origem.</x:v>
      </x:c>
      <x:c r="E16" s="25" t="str">
        <x:v>Alta</x:v>
      </x:c>
      <x:c r="F16" s="25" t="str">
        <x:v>Pendente</x:v>
      </x:c>
      <x:c r="G16" s="24" t="str"/>
      <x:c r="H16" s="26" t="str"/>
      <x:c r="I16" s="24" t="str"/>
    </x:row>
    <x:row r="17">
      <x:c r="A17" s="25" t="n">
        <x:v>9</x:v>
      </x:c>
      <x:c r="B17" s="24" t="str">
        <x:v>PAINEL ADMIN</x:v>
      </x:c>
      <x:c r="C17" s="24" t="str">
        <x:v>Editar produto</x:v>
      </x:c>
      <x:c r="D17" s="24" t="str">
        <x:v>O produto selecionado deve abrir em modo de edicao com dados carregados.</x:v>
      </x:c>
      <x:c r="E17" s="25" t="str">
        <x:v>Alta</x:v>
      </x:c>
      <x:c r="F17" s="25" t="str">
        <x:v>Pendente</x:v>
      </x:c>
      <x:c r="G17" s="24" t="str"/>
      <x:c r="H17" s="26" t="str"/>
      <x:c r="I17" s="24" t="str"/>
    </x:row>
    <x:row r="18">
      <x:c r="A18" s="25" t="n">
        <x:v>10</x:v>
      </x:c>
      <x:c r="B18" s="24" t="str">
        <x:v>PAINEL ADMIN</x:v>
      </x:c>
      <x:c r="C18" s="24" t="str">
        <x:v>Ativar ou desativar produto</x:v>
      </x:c>
      <x:c r="D18" s="24" t="str">
        <x:v>O status do produto deve ser alterado sem inconsistencias.</x:v>
      </x:c>
      <x:c r="E18" s="25" t="str">
        <x:v>Media</x:v>
      </x:c>
      <x:c r="F18" s="25" t="str">
        <x:v>Pendente</x:v>
      </x:c>
      <x:c r="G18" s="24" t="str"/>
      <x:c r="H18" s="26" t="str"/>
      <x:c r="I18" s="24" t="str"/>
    </x:row>
    <x:row r="19">
      <x:c r="A19" s="25" t="n">
        <x:v>11</x:v>
      </x:c>
      <x:c r="B19" s="24" t="str">
        <x:v>PAINEL ADMIN</x:v>
      </x:c>
      <x:c r="C19" s="24" t="str">
        <x:v>Abrir detalhes de produto</x:v>
      </x:c>
      <x:c r="D19" s="24" t="str">
        <x:v>O modal deve exibir as informacoes completas do item selecionado.</x:v>
      </x:c>
      <x:c r="E19" s="25" t="str">
        <x:v>Media</x:v>
      </x:c>
      <x:c r="F19" s="25" t="str">
        <x:v>Pendente</x:v>
      </x:c>
      <x:c r="G19" s="24" t="str"/>
      <x:c r="H19" s="26" t="str"/>
      <x:c r="I19" s="24" t="str"/>
    </x:row>
    <x:row r="20">
      <x:c r="A20" s="25" t="n">
        <x:v>12</x:v>
      </x:c>
      <x:c r="B20" s="24" t="str">
        <x:v>ABERTURA DE CAIXA</x:v>
      </x:c>
      <x:c r="C20" s="24" t="str">
        <x:v>Abrir caixa com troco inicial manual</x:v>
      </x:c>
      <x:c r="D20" s="24" t="str">
        <x:v>O caixa deve ser aberto e a sessao deve guardar PDV, operador e valor de abertura.</x:v>
      </x:c>
      <x:c r="E20" s="25" t="str">
        <x:v>Alta</x:v>
      </x:c>
      <x:c r="F20" s="25" t="str">
        <x:v>Pendente</x:v>
      </x:c>
      <x:c r="G20" s="24" t="str"/>
      <x:c r="H20" s="26" t="str"/>
      <x:c r="I20" s="24" t="str"/>
    </x:row>
    <x:row r="21">
      <x:c r="A21" s="25" t="n">
        <x:v>13</x:v>
      </x:c>
      <x:c r="B21" s="24" t="str">
        <x:v>ABERTURA DE CAIXA</x:v>
      </x:c>
      <x:c r="C21" s="24" t="str">
        <x:v>Abrir caixa com composicao do fundo</x:v>
      </x:c>
      <x:c r="D21" s="24" t="str">
        <x:v>O total calculado deve coincidir com o troco inicial informado.</x:v>
      </x:c>
      <x:c r="E21" s="25" t="str">
        <x:v>Alta</x:v>
      </x:c>
      <x:c r="F21" s="25" t="str">
        <x:v>Pendente</x:v>
      </x:c>
      <x:c r="G21" s="24" t="str"/>
      <x:c r="H21" s="26" t="str"/>
      <x:c r="I21" s="24" t="str"/>
    </x:row>
    <x:row r="22">
      <x:c r="A22" s="25" t="n">
        <x:v>14</x:v>
      </x:c>
      <x:c r="B22" s="24" t="str">
        <x:v>ABERTURA DE CAIXA</x:v>
      </x:c>
      <x:c r="C22" s="24" t="str">
        <x:v>Validar ultimas aberturas</x:v>
      </x:c>
      <x:c r="D22" s="24" t="str">
        <x:v>A tabela deve mostrar data/hora formatadas corretamente e operador responsavel.</x:v>
      </x:c>
      <x:c r="E22" s="25" t="str">
        <x:v>Media</x:v>
      </x:c>
      <x:c r="F22" s="25" t="str">
        <x:v>Pendente</x:v>
      </x:c>
      <x:c r="G22" s="24" t="str"/>
      <x:c r="H22" s="26" t="str"/>
      <x:c r="I22" s="24" t="str"/>
    </x:row>
    <x:row r="23">
      <x:c r="A23" s="25" t="n">
        <x:v>15</x:v>
      </x:c>
      <x:c r="B23" s="24" t="str">
        <x:v>FRENTE DE LOJA</x:v>
      </x:c>
      <x:c r="C23" s="24" t="str">
        <x:v>Abrir frente de loja com caixa aberto</x:v>
      </x:c>
      <x:c r="D23" s="24" t="str">
        <x:v>As opcoes de venda, consulta, movimentacao e fechamento devem ser habilitadas.</x:v>
      </x:c>
      <x:c r="E23" s="25" t="str">
        <x:v>Alta</x:v>
      </x:c>
      <x:c r="F23" s="25" t="str">
        <x:v>Pendente</x:v>
      </x:c>
      <x:c r="G23" s="24" t="str"/>
      <x:c r="H23" s="26" t="str"/>
      <x:c r="I23" s="24" t="str"/>
    </x:row>
    <x:row r="24">
      <x:c r="A24" s="25" t="n">
        <x:v>16</x:v>
      </x:c>
      <x:c r="B24" s="24" t="str">
        <x:v>FRENTE DE LOJA</x:v>
      </x:c>
      <x:c r="C24" s="24" t="str">
        <x:v>Abrir Resumo do Caixa Atual</x:v>
      </x:c>
      <x:c r="D24" s="24" t="str">
        <x:v>O resumo deve exibir PDV, operador, abertura, fundo, vendas, faturamento e totais por forma de pagamento.</x:v>
      </x:c>
      <x:c r="E24" s="25" t="str">
        <x:v>Media</x:v>
      </x:c>
      <x:c r="F24" s="25" t="str">
        <x:v>Pendente</x:v>
      </x:c>
      <x:c r="G24" s="24" t="str"/>
      <x:c r="H24" s="26" t="str"/>
      <x:c r="I24" s="24" t="str"/>
    </x:row>
    <x:row r="25">
      <x:c r="A25" s="25" t="n">
        <x:v>17</x:v>
      </x:c>
      <x:c r="B25" s="24" t="str">
        <x:v>FRENTE DE LOJA</x:v>
      </x:c>
      <x:c r="C25" s="24" t="str">
        <x:v>Navegar para outros modulos com usuario multiacesso</x:v>
      </x:c>
      <x:c r="D25" s="24" t="str">
        <x:v>Usuarios com mais de uma permissao devem poder voltar para selecao de modulos mesmo com caixa aberto.</x:v>
      </x:c>
      <x:c r="E25" s="25" t="str">
        <x:v>Alta</x:v>
      </x:c>
      <x:c r="F25" s="25" t="str">
        <x:v>Pendente</x:v>
      </x:c>
      <x:c r="G25" s="24" t="str"/>
      <x:c r="H25" s="26" t="str"/>
      <x:c r="I25" s="24" t="str"/>
    </x:row>
    <x:row r="26">
      <x:c r="A26" s="25" t="n">
        <x:v>18</x:v>
      </x:c>
      <x:c r="B26" s="24" t="str">
        <x:v>FRENTE DE LOJA</x:v>
      </x:c>
      <x:c r="C26" s="24" t="str">
        <x:v>Bloquear fechamento do programa com caixa aberto</x:v>
      </x:c>
      <x:c r="D26" s="24" t="str">
        <x:v>O app nao deve fechar enquanto o caixa estiver aberto.</x:v>
      </x:c>
      <x:c r="E26" s="25" t="str">
        <x:v>Alta</x:v>
      </x:c>
      <x:c r="F26" s="25" t="str">
        <x:v>Pendente</x:v>
      </x:c>
      <x:c r="G26" s="24" t="str"/>
      <x:c r="H26" s="26" t="str"/>
      <x:c r="I26" s="24" t="str"/>
    </x:row>
    <x:row r="27">
      <x:c r="A27" s="25" t="n">
        <x:v>19</x:v>
      </x:c>
      <x:c r="B27" s="24" t="str">
        <x:v>VENDA</x:v>
      </x:c>
      <x:c r="C27" s="24" t="str">
        <x:v>Buscar produto por nome</x:v>
      </x:c>
      <x:c r="D27" s="24" t="str">
        <x:v>O campo de descricao deve localizar produtos em tempo real.</x:v>
      </x:c>
      <x:c r="E27" s="25" t="str">
        <x:v>Alta</x:v>
      </x:c>
      <x:c r="F27" s="25" t="str">
        <x:v>Pendente</x:v>
      </x:c>
      <x:c r="G27" s="24" t="str"/>
      <x:c r="H27" s="26" t="str"/>
      <x:c r="I27" s="24" t="str"/>
    </x:row>
    <x:row r="28">
      <x:c r="A28" s="25" t="n">
        <x:v>20</x:v>
      </x:c>
      <x:c r="B28" s="24" t="str">
        <x:v>VENDA</x:v>
      </x:c>
      <x:c r="C28" s="24" t="str">
        <x:v>Buscar produto por codigo de barras</x:v>
      </x:c>
      <x:c r="D28" s="24" t="str">
        <x:v>O campo de descricao deve aceitar leitura por codigo e localizar o item.</x:v>
      </x:c>
      <x:c r="E28" s="25" t="str">
        <x:v>Alta</x:v>
      </x:c>
      <x:c r="F28" s="25" t="str">
        <x:v>Pendente</x:v>
      </x:c>
      <x:c r="G28" s="24" t="str"/>
      <x:c r="H28" s="26" t="str"/>
      <x:c r="I28" s="24" t="str"/>
    </x:row>
    <x:row r="29">
      <x:c r="A29" s="25" t="n">
        <x:v>21</x:v>
      </x:c>
      <x:c r="B29" s="24" t="str">
        <x:v>VENDA</x:v>
      </x:c>
      <x:c r="C29" s="24" t="str">
        <x:v>Adicionar item ao cupom com Enter</x:v>
      </x:c>
      <x:c r="D29" s="24" t="str">
        <x:v>Pressionar Enter apos a busca deve inserir o produto no cupom.</x:v>
      </x:c>
      <x:c r="E29" s="25" t="str">
        <x:v>Alta</x:v>
      </x:c>
      <x:c r="F29" s="25" t="str">
        <x:v>Pendente</x:v>
      </x:c>
      <x:c r="G29" s="24" t="str"/>
      <x:c r="H29" s="26" t="str"/>
      <x:c r="I29" s="24" t="str"/>
    </x:row>
    <x:row r="30">
      <x:c r="A30" s="25" t="n">
        <x:v>22</x:v>
      </x:c>
      <x:c r="B30" s="24" t="str">
        <x:v>VENDA</x:v>
      </x:c>
      <x:c r="C30" s="24" t="str">
        <x:v>Alterar cliente da venda</x:v>
      </x:c>
      <x:c r="D30" s="24" t="str">
        <x:v>O seletor de cliente deve atualizar o cliente atual da venda.</x:v>
      </x:c>
      <x:c r="E30" s="25" t="str">
        <x:v>Media</x:v>
      </x:c>
      <x:c r="F30" s="25" t="str">
        <x:v>Pendente</x:v>
      </x:c>
      <x:c r="G30" s="24" t="str"/>
      <x:c r="H30" s="26" t="str"/>
      <x:c r="I30" s="24" t="str"/>
    </x:row>
    <x:row r="31">
      <x:c r="A31" s="25" t="n">
        <x:v>23</x:v>
      </x:c>
      <x:c r="B31" s="24" t="str">
        <x:v>VENDA</x:v>
      </x:c>
      <x:c r="C31" s="24" t="str">
        <x:v>Alterar quantidade pelo F3</x:v>
      </x:c>
      <x:c r="D31" s="24" t="str">
        <x:v>O item selecionado deve ter a quantidade alterada e o total recalculado.</x:v>
      </x:c>
      <x:c r="E31" s="25" t="str">
        <x:v>Alta</x:v>
      </x:c>
      <x:c r="F31" s="25" t="str">
        <x:v>Pendente</x:v>
      </x:c>
      <x:c r="G31" s="24" t="str"/>
      <x:c r="H31" s="26" t="str"/>
      <x:c r="I31" s="24" t="str"/>
    </x:row>
    <x:row r="32">
      <x:c r="A32" s="25" t="n">
        <x:v>24</x:v>
      </x:c>
      <x:c r="B32" s="24" t="str">
        <x:v>VENDA</x:v>
      </x:c>
      <x:c r="C32" s="24" t="str">
        <x:v>Cancelar item pelo F5</x:v>
      </x:c>
      <x:c r="D32" s="24" t="str">
        <x:v>Somente o item selecionado deve ser removido do cupom.</x:v>
      </x:c>
      <x:c r="E32" s="25" t="str">
        <x:v>Alta</x:v>
      </x:c>
      <x:c r="F32" s="25" t="str">
        <x:v>Pendente</x:v>
      </x:c>
      <x:c r="G32" s="24" t="str"/>
      <x:c r="H32" s="26" t="str"/>
      <x:c r="I32" s="24" t="str"/>
    </x:row>
    <x:row r="33">
      <x:c r="A33" s="25" t="n">
        <x:v>25</x:v>
      </x:c>
      <x:c r="B33" s="24" t="str">
        <x:v>VENDA</x:v>
      </x:c>
      <x:c r="C33" s="24" t="str">
        <x:v>Cancelar venda pelo F6</x:v>
      </x:c>
      <x:c r="D33" s="24" t="str">
        <x:v>Todos os itens do cupom devem ser removidos apos confirmacao.</x:v>
      </x:c>
      <x:c r="E33" s="25" t="str">
        <x:v>Alta</x:v>
      </x:c>
      <x:c r="F33" s="25" t="str">
        <x:v>Pendente</x:v>
      </x:c>
      <x:c r="G33" s="24" t="str"/>
      <x:c r="H33" s="26" t="str"/>
      <x:c r="I33" s="24" t="str"/>
    </x:row>
    <x:row r="34">
      <x:c r="A34" s="25" t="n">
        <x:v>26</x:v>
      </x:c>
      <x:c r="B34" s="24" t="str">
        <x:v>VENDA</x:v>
      </x:c>
      <x:c r="C34" s="24" t="str">
        <x:v>Aplicar desconto por item</x:v>
      </x:c>
      <x:c r="D34" s="24" t="str">
        <x:v>O desconto deve afetar apenas o item escolhido e refletir no cupom.</x:v>
      </x:c>
      <x:c r="E34" s="25" t="str">
        <x:v>Alta</x:v>
      </x:c>
      <x:c r="F34" s="25" t="str">
        <x:v>Pendente</x:v>
      </x:c>
      <x:c r="G34" s="24" t="str"/>
      <x:c r="H34" s="26" t="str"/>
      <x:c r="I34" s="24" t="str"/>
    </x:row>
    <x:row r="35">
      <x:c r="A35" s="25" t="n">
        <x:v>27</x:v>
      </x:c>
      <x:c r="B35" s="24" t="str">
        <x:v>VENDA</x:v>
      </x:c>
      <x:c r="C35" s="24" t="str">
        <x:v>Aplicar desconto global</x:v>
      </x:c>
      <x:c r="D35" s="24" t="str">
        <x:v>O desconto global deve reduzir o total final da venda sem alterar descontos individuais.</x:v>
      </x:c>
      <x:c r="E35" s="25" t="str">
        <x:v>Alta</x:v>
      </x:c>
      <x:c r="F35" s="25" t="str">
        <x:v>Pendente</x:v>
      </x:c>
      <x:c r="G35" s="24" t="str"/>
      <x:c r="H35" s="26" t="str"/>
      <x:c r="I35" s="24" t="str"/>
    </x:row>
    <x:row r="36">
      <x:c r="A36" s="25" t="n">
        <x:v>28</x:v>
      </x:c>
      <x:c r="B36" s="24" t="str">
        <x:v>VENDA</x:v>
      </x:c>
      <x:c r="C36" s="24" t="str">
        <x:v>Remover desconto global ou de item</x:v>
      </x:c>
      <x:c r="D36" s="24" t="str">
        <x:v>O modal deve permitir remover descontos e recalcular os totais.</x:v>
      </x:c>
      <x:c r="E36" s="25" t="str">
        <x:v>Media</x:v>
      </x:c>
      <x:c r="F36" s="25" t="str">
        <x:v>Pendente</x:v>
      </x:c>
      <x:c r="G36" s="24" t="str"/>
      <x:c r="H36" s="26" t="str"/>
      <x:c r="I36" s="24" t="str"/>
    </x:row>
    <x:row r="37">
      <x:c r="A37" s="25" t="n">
        <x:v>29</x:v>
      </x:c>
      <x:c r="B37" s="24" t="str">
        <x:v>VENDA</x:v>
      </x:c>
      <x:c r="C37" s="24" t="str">
        <x:v>Abrir modal de confirmacao da venda</x:v>
      </x:c>
      <x:c r="D37" s="24" t="str">
        <x:v>O modal deve listar cliente, itens, subtotal, descontos e total a pagar.</x:v>
      </x:c>
      <x:c r="E37" s="25" t="str">
        <x:v>Alta</x:v>
      </x:c>
      <x:c r="F37" s="25" t="str">
        <x:v>Pendente</x:v>
      </x:c>
      <x:c r="G37" s="24" t="str"/>
      <x:c r="H37" s="26" t="str"/>
      <x:c r="I37" s="24" t="str"/>
    </x:row>
    <x:row r="38">
      <x:c r="A38" s="25" t="n">
        <x:v>30</x:v>
      </x:c>
      <x:c r="B38" s="24" t="str">
        <x:v>PAGAMENTO</x:v>
      </x:c>
      <x:c r="C38" s="24" t="str">
        <x:v>Abrir tela de pagamento apos confirmar venda</x:v>
      </x:c>
      <x:c r="D38" s="24" t="str">
        <x:v>A venda confirmada deve seguir para o fluxo de pagamento.</x:v>
      </x:c>
      <x:c r="E38" s="25" t="str">
        <x:v>Alta</x:v>
      </x:c>
      <x:c r="F38" s="25" t="str">
        <x:v>Pendente</x:v>
      </x:c>
      <x:c r="G38" s="24" t="str"/>
      <x:c r="H38" s="26" t="str"/>
      <x:c r="I38" s="24" t="str"/>
    </x:row>
    <x:row r="39">
      <x:c r="A39" s="25" t="n">
        <x:v>31</x:v>
      </x:c>
      <x:c r="B39" s="24" t="str">
        <x:v>PAGAMENTO</x:v>
      </x:c>
      <x:c r="C39" s="24" t="str">
        <x:v>Lancar pagamento em dinheiro</x:v>
      </x:c>
      <x:c r="D39" s="24" t="str">
        <x:v>O valor deve ser registrado e abatido do restante a pagar.</x:v>
      </x:c>
      <x:c r="E39" s="25" t="str">
        <x:v>Alta</x:v>
      </x:c>
      <x:c r="F39" s="25" t="str">
        <x:v>Pendente</x:v>
      </x:c>
      <x:c r="G39" s="24" t="str"/>
      <x:c r="H39" s="26" t="str"/>
      <x:c r="I39" s="24" t="str"/>
    </x:row>
    <x:row r="40">
      <x:c r="A40" s="25" t="n">
        <x:v>32</x:v>
      </x:c>
      <x:c r="B40" s="24" t="str">
        <x:v>PAGAMENTO</x:v>
      </x:c>
      <x:c r="C40" s="24" t="str">
        <x:v>Lancar pagamentos mistos</x:v>
      </x:c>
      <x:c r="D40" s="24" t="str">
        <x:v>A tela deve aceitar mais de uma forma de pagamento para a mesma venda.</x:v>
      </x:c>
      <x:c r="E40" s="25" t="str">
        <x:v>Alta</x:v>
      </x:c>
      <x:c r="F40" s="25" t="str">
        <x:v>Pendente</x:v>
      </x:c>
      <x:c r="G40" s="24" t="str"/>
      <x:c r="H40" s="26" t="str"/>
      <x:c r="I40" s="24" t="str"/>
    </x:row>
    <x:row r="41">
      <x:c r="A41" s="25" t="n">
        <x:v>33</x:v>
      </x:c>
      <x:c r="B41" s="24" t="str">
        <x:v>PAGAMENTO</x:v>
      </x:c>
      <x:c r="C41" s="24" t="str">
        <x:v>Remover pagamento lancado por engano</x:v>
      </x:c>
      <x:c r="D41" s="24" t="str">
        <x:v>A lista de pagamentos deve permitir remocao segura de um lancamento.</x:v>
      </x:c>
      <x:c r="E41" s="25" t="str">
        <x:v>Alta</x:v>
      </x:c>
      <x:c r="F41" s="25" t="str">
        <x:v>Pendente</x:v>
      </x:c>
      <x:c r="G41" s="24" t="str"/>
      <x:c r="H41" s="26" t="str"/>
      <x:c r="I41" s="24" t="str"/>
    </x:row>
    <x:row r="42">
      <x:c r="A42" s="25" t="n">
        <x:v>34</x:v>
      </x:c>
      <x:c r="B42" s="24" t="str">
        <x:v>PAGAMENTO</x:v>
      </x:c>
      <x:c r="C42" s="24" t="str">
        <x:v>Finalizar com troco</x:v>
      </x:c>
      <x:c r="D42" s="24" t="str">
        <x:v>Quando o valor pago for maior, o troco deve ser calculado corretamente.</x:v>
      </x:c>
      <x:c r="E42" s="25" t="str">
        <x:v>Alta</x:v>
      </x:c>
      <x:c r="F42" s="25" t="str">
        <x:v>Pendente</x:v>
      </x:c>
      <x:c r="G42" s="24" t="str"/>
      <x:c r="H42" s="26" t="str"/>
      <x:c r="I42" s="24" t="str"/>
    </x:row>
    <x:row r="43">
      <x:c r="A43" s="25" t="n">
        <x:v>35</x:v>
      </x:c>
      <x:c r="B43" s="24" t="str">
        <x:v>POS-PAGAMENTO</x:v>
      </x:c>
      <x:c r="C43" s="24" t="str">
        <x:v>Exibir cupom nao fiscal</x:v>
      </x:c>
      <x:c r="D43" s="24" t="str">
        <x:v>O dialog deve mostrar numero da venda, cliente, data/hora, totais, pagamentos e troco.</x:v>
      </x:c>
      <x:c r="E43" s="25" t="str">
        <x:v>Media</x:v>
      </x:c>
      <x:c r="F43" s="25" t="str">
        <x:v>Pendente</x:v>
      </x:c>
      <x:c r="G43" s="24" t="str"/>
      <x:c r="H43" s="26" t="str"/>
      <x:c r="I43" s="24" t="str"/>
    </x:row>
    <x:row r="44">
      <x:c r="A44" s="25" t="n">
        <x:v>36</x:v>
      </x:c>
      <x:c r="B44" s="24" t="str">
        <x:v>POS-PAGAMENTO</x:v>
      </x:c>
      <x:c r="C44" s="24" t="str">
        <x:v>Finalizar sem impressao</x:v>
      </x:c>
      <x:c r="D44" s="24" t="str">
        <x:v>A venda deve ser encerrada e o fluxo deve voltar pronto para nova operacao.</x:v>
      </x:c>
      <x:c r="E44" s="25" t="str">
        <x:v>Media</x:v>
      </x:c>
      <x:c r="F44" s="25" t="str">
        <x:v>Pendente</x:v>
      </x:c>
      <x:c r="G44" s="24" t="str"/>
      <x:c r="H44" s="26" t="str"/>
      <x:c r="I44" s="24" t="str"/>
    </x:row>
    <x:row r="45">
      <x:c r="A45" s="25" t="n">
        <x:v>37</x:v>
      </x:c>
      <x:c r="B45" s="24" t="str">
        <x:v>PERSISTENCIA</x:v>
      </x:c>
      <x:c r="C45" s="24" t="str">
        <x:v>Gravar venda no banco</x:v>
      </x:c>
      <x:c r="D45" s="24" t="str">
        <x:v>A venda deve ser salva em vendas, itens_venda e pagamento_parcial.</x:v>
      </x:c>
      <x:c r="E45" s="25" t="str">
        <x:v>Alta</x:v>
      </x:c>
      <x:c r="F45" s="25" t="str">
        <x:v>Pendente</x:v>
      </x:c>
      <x:c r="G45" s="24" t="str"/>
      <x:c r="H45" s="26" t="str"/>
      <x:c r="I45" s="24" t="str"/>
    </x:row>
    <x:row r="46">
      <x:c r="A46" s="25" t="n">
        <x:v>38</x:v>
      </x:c>
      <x:c r="B46" s="24" t="str">
        <x:v>PERSISTENCIA</x:v>
      </x:c>
      <x:c r="C46" s="24" t="str">
        <x:v>Baixar estoque do produto vendido</x:v>
      </x:c>
      <x:c r="D46" s="24" t="str">
        <x:v>A quantidade do produto deve ser reduzida corretamente apos a venda.</x:v>
      </x:c>
      <x:c r="E46" s="25" t="str">
        <x:v>Alta</x:v>
      </x:c>
      <x:c r="F46" s="25" t="str">
        <x:v>Pendente</x:v>
      </x:c>
      <x:c r="G46" s="24" t="str"/>
      <x:c r="H46" s="26" t="str"/>
      <x:c r="I46" s="24" t="str"/>
    </x:row>
    <x:row r="47">
      <x:c r="A47" s="25" t="n">
        <x:v>39</x:v>
      </x:c>
      <x:c r="B47" s="24" t="str">
        <x:v>MOVIMENTACAO DE CAIXA</x:v>
      </x:c>
      <x:c r="C47" s="24" t="str">
        <x:v>Registrar sangria</x:v>
      </x:c>
      <x:c r="D47" s="24" t="str">
        <x:v>O valor deve ser retirado do saldo do caixa e aparecer no historico.</x:v>
      </x:c>
      <x:c r="E47" s="25" t="str">
        <x:v>Alta</x:v>
      </x:c>
      <x:c r="F47" s="25" t="str">
        <x:v>Pendente</x:v>
      </x:c>
      <x:c r="G47" s="24" t="str"/>
      <x:c r="H47" s="26" t="str"/>
      <x:c r="I47" s="24" t="str"/>
    </x:row>
    <x:row r="48">
      <x:c r="A48" s="25" t="n">
        <x:v>40</x:v>
      </x:c>
      <x:c r="B48" s="24" t="str">
        <x:v>MOVIMENTACAO DE CAIXA</x:v>
      </x:c>
      <x:c r="C48" s="24" t="str">
        <x:v>Registrar suprimento</x:v>
      </x:c>
      <x:c r="D48" s="24" t="str">
        <x:v>O valor deve ser somado ao saldo do caixa e aparecer no historico.</x:v>
      </x:c>
      <x:c r="E48" s="25" t="str">
        <x:v>Alta</x:v>
      </x:c>
      <x:c r="F48" s="25" t="str">
        <x:v>Pendente</x:v>
      </x:c>
      <x:c r="G48" s="24" t="str"/>
      <x:c r="H48" s="26" t="str"/>
      <x:c r="I48" s="24" t="str"/>
    </x:row>
    <x:row r="49">
      <x:c r="A49" s="25" t="n">
        <x:v>41</x:v>
      </x:c>
      <x:c r="B49" s="24" t="str">
        <x:v>MOVIMENTACAO DE CAIXA</x:v>
      </x:c>
      <x:c r="C49" s="24" t="str">
        <x:v>Registrar reforco de troco</x:v>
      </x:c>
      <x:c r="D49" s="24" t="str">
        <x:v>O valor deve ser somado ao saldo do caixa e aparecer no historico com nomenclatura correta.</x:v>
      </x:c>
      <x:c r="E49" s="25" t="str">
        <x:v>Alta</x:v>
      </x:c>
      <x:c r="F49" s="25" t="str">
        <x:v>Pendente</x:v>
      </x:c>
      <x:c r="G49" s="24" t="str"/>
      <x:c r="H49" s="26" t="str"/>
      <x:c r="I49" s="24" t="str"/>
    </x:row>
    <x:row r="50">
      <x:c r="A50" s="25" t="n">
        <x:v>42</x:v>
      </x:c>
      <x:c r="B50" s="24" t="str">
        <x:v>MOVIMENTACAO DE CAIXA</x:v>
      </x:c>
      <x:c r="C50" s="24" t="str">
        <x:v>Exigir senha de administrador</x:v>
      </x:c>
      <x:c r="D50" s="24" t="str">
        <x:v>A movimentacao deve exigir senha admin valida antes de concluir.</x:v>
      </x:c>
      <x:c r="E50" s="25" t="str">
        <x:v>Alta</x:v>
      </x:c>
      <x:c r="F50" s="25" t="str">
        <x:v>Pendente</x:v>
      </x:c>
      <x:c r="G50" s="24" t="str"/>
      <x:c r="H50" s="26" t="str"/>
      <x:c r="I50" s="24" t="str"/>
    </x:row>
    <x:row r="51">
      <x:c r="A51" s="25" t="n">
        <x:v>43</x:v>
      </x:c>
      <x:c r="B51" s="24" t="str">
        <x:v>FECHAMENTO DE CAIXA</x:v>
      </x:c>
      <x:c r="C51" s="24" t="str">
        <x:v>Popular tela com vendas do dia</x:v>
      </x:c>
      <x:c r="D51" s="24" t="str">
        <x:v>A tela deve refletir vendas, faturamento e totais por forma de pagamento do caixa atual.</x:v>
      </x:c>
      <x:c r="E51" s="25" t="str">
        <x:v>Alta</x:v>
      </x:c>
      <x:c r="F51" s="25" t="str">
        <x:v>Pendente</x:v>
      </x:c>
      <x:c r="G51" s="24" t="str"/>
      <x:c r="H51" s="26" t="str"/>
      <x:c r="I51" s="24" t="str"/>
    </x:row>
    <x:row r="52">
      <x:c r="A52" s="25" t="n">
        <x:v>44</x:v>
      </x:c>
      <x:c r="B52" s="24" t="str">
        <x:v>FECHAMENTO DE CAIXA</x:v>
      </x:c>
      <x:c r="C52" s="24" t="str">
        <x:v>Fechar caixa sem diferenca</x:v>
      </x:c>
      <x:c r="D52" s="24" t="str">
        <x:v>O caixa deve ser fechado normalmente quando valor contado e esperado coincidirem.</x:v>
      </x:c>
      <x:c r="E52" s="25" t="str">
        <x:v>Alta</x:v>
      </x:c>
      <x:c r="F52" s="25" t="str">
        <x:v>Pendente</x:v>
      </x:c>
      <x:c r="G52" s="24" t="str"/>
      <x:c r="H52" s="26" t="str"/>
      <x:c r="I52" s="24" t="str"/>
    </x:row>
    <x:row r="53">
      <x:c r="A53" s="25" t="n">
        <x:v>45</x:v>
      </x:c>
      <x:c r="B53" s="24" t="str">
        <x:v>FECHAMENTO DE CAIXA</x:v>
      </x:c>
      <x:c r="C53" s="24" t="str">
        <x:v>Fechar caixa com diferenca</x:v>
      </x:c>
      <x:c r="D53" s="24" t="str">
        <x:v>O sistema deve exigir senha de administrador para concluir o fechamento com diferenca.</x:v>
      </x:c>
      <x:c r="E53" s="25" t="str">
        <x:v>Alta</x:v>
      </x:c>
      <x:c r="F53" s="25" t="str">
        <x:v>Pendente</x:v>
      </x:c>
      <x:c r="G53" s="24" t="str"/>
      <x:c r="H53" s="26" t="str"/>
      <x:c r="I53" s="24" t="str"/>
    </x:row>
    <x:row r="54">
      <x:c r="A54" s="25" t="n">
        <x:v>46</x:v>
      </x:c>
      <x:c r="B54" s="24" t="str">
        <x:v>ESTOQUE</x:v>
      </x:c>
      <x:c r="C54" s="24" t="str">
        <x:v>Carregar painel de estoque</x:v>
      </x:c>
      <x:c r="D54" s="24" t="str">
        <x:v>Produtos, lotes, movimentacoes e cards devem carregar com dados reais.</x:v>
      </x:c>
      <x:c r="E54" s="25" t="str">
        <x:v>Media</x:v>
      </x:c>
      <x:c r="F54" s="25" t="str">
        <x:v>Pendente</x:v>
      </x:c>
      <x:c r="G54" s="24" t="str"/>
      <x:c r="H54" s="26" t="str"/>
      <x:c r="I54" s="24" t="str"/>
    </x:row>
    <x:row r="55">
      <x:c r="A55" s="25" t="n">
        <x:v>47</x:v>
      </x:c>
      <x:c r="B55" s="24" t="str">
        <x:v>ESTOQUE</x:v>
      </x:c>
      <x:c r="C55" s="24" t="str">
        <x:v>Buscar produto no estoque</x:v>
      </x:c>
      <x:c r="D55" s="24" t="str">
        <x:v>A busca deve localizar por produto, codigo de barras, marca ou lote.</x:v>
      </x:c>
      <x:c r="E55" s="25" t="str">
        <x:v>Media</x:v>
      </x:c>
      <x:c r="F55" s="25" t="str">
        <x:v>Pendente</x:v>
      </x:c>
      <x:c r="G55" s="24" t="str"/>
      <x:c r="H55" s="26" t="str"/>
      <x:c r="I55" s="24" t="str"/>
    </x:row>
    <x:row r="56">
      <x:c r="A56" s="25" t="n">
        <x:v>48</x:v>
      </x:c>
      <x:c r="B56" s="24" t="str">
        <x:v>ESTOQUE</x:v>
      </x:c>
      <x:c r="C56" s="24" t="str">
        <x:v>Filtrar por categoria e fornecedor</x:v>
      </x:c>
      <x:c r="D56" s="24" t="str">
        <x:v>Os filtros devem restringir corretamente os registros exibidos.</x:v>
      </x:c>
      <x:c r="E56" s="25" t="str">
        <x:v>Media</x:v>
      </x:c>
      <x:c r="F56" s="25" t="str">
        <x:v>Pendente</x:v>
      </x:c>
      <x:c r="G56" s="24" t="str"/>
      <x:c r="H56" s="26" t="str"/>
      <x:c r="I56" s="24" t="str"/>
    </x:row>
    <x:row r="57">
      <x:c r="A57" s="25" t="n">
        <x:v>49</x:v>
      </x:c>
      <x:c r="B57" s="24" t="str">
        <x:v>ESTOQUE</x:v>
      </x:c>
      <x:c r="C57" s="24" t="str">
        <x:v>Ajustar quantidade de estoque</x:v>
      </x:c>
      <x:c r="D57" s="24" t="str">
        <x:v>O ajuste deve atualizar o produto e sincronizar lotes quando existirem.</x:v>
      </x:c>
      <x:c r="E57" s="25" t="str">
        <x:v>Alta</x:v>
      </x:c>
      <x:c r="F57" s="25" t="str">
        <x:v>Pendente</x:v>
      </x:c>
      <x:c r="G57" s="24" t="str"/>
      <x:c r="H57" s="26" t="str"/>
      <x:c r="I57" s="24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9.290000915527344" hidden="0" customWidth="1"/>
    <x:col min="4" max="4" width="12.140000343322754" hidden="0" customWidth="1"/>
    <x:col min="5" max="5" width="39.290000915527344" hidden="0" customWidth="1"/>
  </x:cols>
  <x:sheetData>
    <x:row r="1">
      <x:c r="A1" s="29" t="str">
        <x:v>Apoio da Homologacao</x:v>
      </x:c>
      <x:c r="B1" s="29"/>
      <x:c r="C1" s="29"/>
      <x:c r="D1" s="29"/>
      <x:c r="E1" s="29"/>
    </x:row>
    <x:row r="3">
      <x:c r="A3" s="20" t="str">
        <x:v>Status</x:v>
      </x:c>
      <x:c r="B3" s="20" t="str">
        <x:v>Descricao</x:v>
      </x:c>
      <x:c r="D3" s="20" t="str">
        <x:v>Prioridade</x:v>
      </x:c>
      <x:c r="E3" s="20" t="str">
        <x:v>Uso sugerido</x:v>
      </x:c>
    </x:row>
    <x:row r="4">
      <x:c r="A4" s="23" t="str">
        <x:v>Pendente</x:v>
      </x:c>
      <x:c r="B4" s="23" t="str">
        <x:v>Cenario ainda nao executado.</x:v>
      </x:c>
      <x:c r="D4" s="23" t="str">
        <x:v>Alta</x:v>
      </x:c>
      <x:c r="E4" s="23" t="str">
        <x:v>Fluxos criticos para operacao e fechamento do caixa.</x:v>
      </x:c>
    </x:row>
    <x:row r="5">
      <x:c r="A5" s="23" t="str">
        <x:v>Em andamento</x:v>
      </x:c>
      <x:c r="B5" s="23" t="str">
        <x:v>Teste em execucao ou aguardando complemento.</x:v>
      </x:c>
      <x:c r="D5" s="23" t="str">
        <x:v>Media</x:v>
      </x:c>
      <x:c r="E5" s="23" t="str">
        <x:v>Fluxos importantes, mas nao bloqueantes para o piloto.</x:v>
      </x:c>
    </x:row>
    <x:row r="6">
      <x:c r="A6" s="23" t="str">
        <x:v>Aprovado</x:v>
      </x:c>
      <x:c r="B6" s="23" t="str">
        <x:v>Fluxo validado com sucesso.</x:v>
      </x:c>
      <x:c r="D6" s="23" t="str">
        <x:v>Baixa</x:v>
      </x:c>
      <x:c r="E6" s="23" t="str">
        <x:v>Ajustes complementares ou cenarios secundarios.</x:v>
      </x:c>
    </x:row>
    <x:row r="7">
      <x:c r="A7" s="23" t="str">
        <x:v>Falhou</x:v>
      </x:c>
      <x:c r="B7" s="23" t="str">
        <x:v>Fluxo executado com erro ou resultado diferente do esperado.</x:v>
      </x:c>
    </x:row>
    <x:row r="8">
      <x:c r="A8" s="23" t="str">
        <x:v>Bloqueado</x:v>
      </x:c>
      <x:c r="B8" s="23" t="str">
        <x:v>Nao foi possivel executar por dependencia ou problema externo.</x:v>
      </x:c>
    </x:row>
  </x:sheetData>
  <x:pageMargins left="0.7" right="0.7" top="0.75" bottom="0.75" header="0.3" footer="0.3"/>
</x:worksheet>
</file>