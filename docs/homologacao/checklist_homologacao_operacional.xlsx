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istemasPython\cspdv\docs\homologacao\"/>
    </mc:Choice>
  </mc:AlternateContent>
  <xr:revisionPtr revIDLastSave="0" documentId="13_ncr:1_{2BD7448E-92DB-4801-811B-18609A536B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hecklist" sheetId="1" r:id="rId1"/>
    <sheet name="Listas" sheetId="2" r:id="rId2"/>
    <sheet name="Evidencias venda" sheetId="3" r:id="rId3"/>
    <sheet name="Evidencias produtos" sheetId="5" r:id="rId4"/>
  </sheets>
  <calcPr calcId="181029"/>
</workbook>
</file>

<file path=xl/calcChain.xml><?xml version="1.0" encoding="utf-8"?>
<calcChain xmlns="http://schemas.openxmlformats.org/spreadsheetml/2006/main">
  <c r="D4" i="1" l="1"/>
  <c r="C4" i="1"/>
  <c r="B4" i="1"/>
  <c r="A4" i="1"/>
</calcChain>
</file>

<file path=xl/sharedStrings.xml><?xml version="1.0" encoding="utf-8"?>
<sst xmlns="http://schemas.openxmlformats.org/spreadsheetml/2006/main" count="292" uniqueCount="151">
  <si>
    <t>Checklist de Homologacao Operacional - CSPdv</t>
  </si>
  <si>
    <t>Use esta planilha para validar o fluxo inicial de setup, administracao, vendas, caixa e estoque. Atualize os campos de status, responsavel, data e evidencias durante os testes.</t>
  </si>
  <si>
    <t>Total de cenarios</t>
  </si>
  <si>
    <t>Aprovados</t>
  </si>
  <si>
    <t>Falhou</t>
  </si>
  <si>
    <t>Bloqueado</t>
  </si>
  <si>
    <t>ID</t>
  </si>
  <si>
    <t>Area</t>
  </si>
  <si>
    <t>Cenario</t>
  </si>
  <si>
    <t>Resultado Esperado</t>
  </si>
  <si>
    <t>Prioridade</t>
  </si>
  <si>
    <t>Status</t>
  </si>
  <si>
    <t>Responsavel</t>
  </si>
  <si>
    <t>Data do Teste</t>
  </si>
  <si>
    <t>Evidencias / Observacoes</t>
  </si>
  <si>
    <t>SETUP E ACESSO</t>
  </si>
  <si>
    <t>Executar o wizard inicial em banco limpo</t>
  </si>
  <si>
    <t>Empresa, PDV, usuario admin, perfil, permissoes e formas de pagamento padrao devem ser criados sem erro.</t>
  </si>
  <si>
    <t>Alta</t>
  </si>
  <si>
    <t>Pendente</t>
  </si>
  <si>
    <t>Validar login com usuario admin</t>
  </si>
  <si>
    <t>O sistema deve autenticar e liberar acesso ao painel administrativo.</t>
  </si>
  <si>
    <t>Validar login com usuario operacional</t>
  </si>
  <si>
    <t>O sistema deve autenticar e liberar apenas os modulos permitidos.</t>
  </si>
  <si>
    <t>Restaurar sessao persistida</t>
  </si>
  <si>
    <t>Ao reabrir o programa dentro do prazo da sessao, o usuario deve ser restaurado sem novo login.</t>
  </si>
  <si>
    <t>Media</t>
  </si>
  <si>
    <t>PAINEL ADMIN</t>
  </si>
  <si>
    <t>Abrir dashboard administrativo</t>
  </si>
  <si>
    <t>Os cards e atalhos devem carregar sem excecoes e com valores coerentes.</t>
  </si>
  <si>
    <t>Abrir caixa pelo painel admin</t>
  </si>
  <si>
    <t>O modal de abertura deve abrir, concluir com sucesso e manter o usuario no admin.</t>
  </si>
  <si>
    <t>Usar Venda Rapida com caixa aberto</t>
  </si>
  <si>
    <t>A janela de venda rapida deve abrir e permitir venda sem sair do painel admin.</t>
  </si>
  <si>
    <t>Cadastrar novo produto</t>
  </si>
  <si>
    <t>A tela deve abrir, salvar corretamente e retornar ao modulo de origem.</t>
  </si>
  <si>
    <t>Editar produto</t>
  </si>
  <si>
    <t>O produto selecionado deve abrir em modo de edicao com dados carregados.</t>
  </si>
  <si>
    <t>Ativar ou desativar produto</t>
  </si>
  <si>
    <t>O status do produto deve ser alterado sem inconsistencias.</t>
  </si>
  <si>
    <t>Abrir detalhes de produto</t>
  </si>
  <si>
    <t>O modal deve exibir as informacoes completas do item selecionado.</t>
  </si>
  <si>
    <t>ABERTURA DE CAIXA</t>
  </si>
  <si>
    <t>Abrir caixa com troco inicial manual</t>
  </si>
  <si>
    <t>O caixa deve ser aberto e a sessao deve guardar PDV, operador e valor de abertura.</t>
  </si>
  <si>
    <t>Abrir caixa com composicao do fundo</t>
  </si>
  <si>
    <t>O total calculado deve coincidir com o troco inicial informado.</t>
  </si>
  <si>
    <t>Validar ultimas aberturas</t>
  </si>
  <si>
    <t>A tabela deve mostrar data/hora formatadas corretamente e operador responsavel.</t>
  </si>
  <si>
    <t>FRENTE DE LOJA</t>
  </si>
  <si>
    <t>Abrir frente de loja com caixa aberto</t>
  </si>
  <si>
    <t>As opcoes de venda, consulta, movimentacao e fechamento devem ser habilitadas.</t>
  </si>
  <si>
    <t>Abrir Resumo do Caixa Atual</t>
  </si>
  <si>
    <t>O resumo deve exibir PDV, operador, abertura, fundo, vendas, faturamento e totais por forma de pagamento.</t>
  </si>
  <si>
    <t>Navegar para outros modulos com usuario multiacesso</t>
  </si>
  <si>
    <t>Usuarios com mais de uma permissao devem poder voltar para selecao de modulos mesmo com caixa aberto.</t>
  </si>
  <si>
    <t>Bloquear fechamento do programa com caixa aberto</t>
  </si>
  <si>
    <t>O app nao deve fechar enquanto o caixa estiver aberto.</t>
  </si>
  <si>
    <t>VENDA</t>
  </si>
  <si>
    <t>Buscar produto por nome</t>
  </si>
  <si>
    <t>O campo de descricao deve localizar produtos em tempo real.</t>
  </si>
  <si>
    <t>Buscar produto por codigo de barras</t>
  </si>
  <si>
    <t>O campo de descricao deve aceitar leitura por codigo e localizar o item.</t>
  </si>
  <si>
    <t>Adicionar item ao cupom com Enter</t>
  </si>
  <si>
    <t>Pressionar Enter apos a busca deve inserir o produto no cupom.</t>
  </si>
  <si>
    <t>Alterar cliente da venda</t>
  </si>
  <si>
    <t>O seletor de cliente deve atualizar o cliente atual da venda.</t>
  </si>
  <si>
    <t>Alterar quantidade pelo F3</t>
  </si>
  <si>
    <t>O item selecionado deve ter a quantidade alterada e o total recalculado.</t>
  </si>
  <si>
    <t>Cancelar item pelo F5</t>
  </si>
  <si>
    <t>Somente o item selecionado deve ser removido do cupom.</t>
  </si>
  <si>
    <t>Cancelar venda pelo F6</t>
  </si>
  <si>
    <t>Todos os itens do cupom devem ser removidos apos confirmacao.</t>
  </si>
  <si>
    <t>Aplicar desconto por item</t>
  </si>
  <si>
    <t>O desconto deve afetar apenas o item escolhido e refletir no cupom.</t>
  </si>
  <si>
    <t>Aplicar desconto global</t>
  </si>
  <si>
    <t>O desconto global deve reduzir o total final da venda sem alterar descontos individuais.</t>
  </si>
  <si>
    <t>Remover desconto global ou de item</t>
  </si>
  <si>
    <t>O modal deve permitir remover descontos e recalcular os totais.</t>
  </si>
  <si>
    <t>Abrir modal de confirmacao da venda</t>
  </si>
  <si>
    <t>O modal deve listar cliente, itens, subtotal, descontos e total a pagar.</t>
  </si>
  <si>
    <t>PAGAMENTO</t>
  </si>
  <si>
    <t>Abrir tela de pagamento apos confirmar venda</t>
  </si>
  <si>
    <t>A venda confirmada deve seguir para o fluxo de pagamento.</t>
  </si>
  <si>
    <t>Lancar pagamento em dinheiro</t>
  </si>
  <si>
    <t>O valor deve ser registrado e abatido do restante a pagar.</t>
  </si>
  <si>
    <t>Lancar pagamentos mistos</t>
  </si>
  <si>
    <t>A tela deve aceitar mais de uma forma de pagamento para a mesma venda.</t>
  </si>
  <si>
    <t>Remover pagamento lancado por engano</t>
  </si>
  <si>
    <t>A lista de pagamentos deve permitir remocao segura de um lancamento.</t>
  </si>
  <si>
    <t>Finalizar com troco</t>
  </si>
  <si>
    <t>Quando o valor pago for maior, o troco deve ser calculado corretamente.</t>
  </si>
  <si>
    <t>POS-PAGAMENTO</t>
  </si>
  <si>
    <t>Exibir cupom nao fiscal</t>
  </si>
  <si>
    <t>O dialog deve mostrar numero da venda, cliente, data/hora, totais, pagamentos e troco.</t>
  </si>
  <si>
    <t>Finalizar sem impressao</t>
  </si>
  <si>
    <t>A venda deve ser encerrada e o fluxo deve voltar pronto para nova operacao.</t>
  </si>
  <si>
    <t>PERSISTENCIA</t>
  </si>
  <si>
    <t>Gravar venda no banco</t>
  </si>
  <si>
    <t>A venda deve ser salva em vendas, itens_venda e pagamento_parcial.</t>
  </si>
  <si>
    <t>Baixar estoque do produto vendido</t>
  </si>
  <si>
    <t>A quantidade do produto deve ser reduzida corretamente apos a venda.</t>
  </si>
  <si>
    <t>MOVIMENTACAO DE CAIXA</t>
  </si>
  <si>
    <t>Registrar sangria</t>
  </si>
  <si>
    <t>O valor deve ser retirado do saldo do caixa e aparecer no historico.</t>
  </si>
  <si>
    <t>Registrar suprimento</t>
  </si>
  <si>
    <t>O valor deve ser somado ao saldo do caixa e aparecer no historico.</t>
  </si>
  <si>
    <t>Registrar reforco de troco</t>
  </si>
  <si>
    <t>O valor deve ser somado ao saldo do caixa e aparecer no historico com nomenclatura correta.</t>
  </si>
  <si>
    <t>Exigir senha de administrador</t>
  </si>
  <si>
    <t>A movimentacao deve exigir senha admin valida antes de concluir.</t>
  </si>
  <si>
    <t>FECHAMENTO DE CAIXA</t>
  </si>
  <si>
    <t>Popular tela com vendas do dia</t>
  </si>
  <si>
    <t>A tela deve refletir vendas, faturamento e totais por forma de pagamento do caixa atual.</t>
  </si>
  <si>
    <t>Fechar caixa sem diferenca</t>
  </si>
  <si>
    <t>O caixa deve ser fechado normalmente quando valor contado e esperado coincidirem.</t>
  </si>
  <si>
    <t>Fechar caixa com diferenca</t>
  </si>
  <si>
    <t>O sistema deve exigir senha de administrador para concluir o fechamento com diferenca.</t>
  </si>
  <si>
    <t>ESTOQUE</t>
  </si>
  <si>
    <t>Carregar painel de estoque</t>
  </si>
  <si>
    <t>Produtos, lotes, movimentacoes e cards devem carregar com dados reais.</t>
  </si>
  <si>
    <t>Buscar produto no estoque</t>
  </si>
  <si>
    <t>A busca deve localizar por produto, codigo de barras, marca ou lote.</t>
  </si>
  <si>
    <t>Filtrar por categoria e fornecedor</t>
  </si>
  <si>
    <t>Os filtros devem restringir corretamente os registros exibidos.</t>
  </si>
  <si>
    <t>Ajustar quantidade de estoque</t>
  </si>
  <si>
    <t>O ajuste deve atualizar o produto e sincronizar lotes quando existirem.</t>
  </si>
  <si>
    <t>Apoio da Homologacao</t>
  </si>
  <si>
    <t>Descricao</t>
  </si>
  <si>
    <t>Uso sugerido</t>
  </si>
  <si>
    <t>Cenario ainda nao executado.</t>
  </si>
  <si>
    <t>Fluxos criticos para operacao e fechamento do caixa.</t>
  </si>
  <si>
    <t>Em andamento</t>
  </si>
  <si>
    <t>Teste em execucao ou aguardando complemento.</t>
  </si>
  <si>
    <t>Fluxos importantes, mas nao bloqueantes para o piloto.</t>
  </si>
  <si>
    <t>Aprovado</t>
  </si>
  <si>
    <t>Fluxo validado com sucesso.</t>
  </si>
  <si>
    <t>Baixa</t>
  </si>
  <si>
    <t>Ajustes complementares ou cenarios secundarios.</t>
  </si>
  <si>
    <t>Fluxo executado com erro ou resultado diferente do esperado.</t>
  </si>
  <si>
    <t>Nao foi possivel executar por dependencia ou problema externo.</t>
  </si>
  <si>
    <t>ver problemas encontrados na planlha evidencias venda</t>
  </si>
  <si>
    <t>O sistema ainda não permite cadastro de usuários</t>
  </si>
  <si>
    <t>Na tela de gerenciamento de produtos um duplo clique deve abrir a tela de edição.</t>
  </si>
  <si>
    <t>ver evidencias e sugestões na planilha evidencias produtos</t>
  </si>
  <si>
    <t>Na unidade tributável deve conter apenas a sigla da unidade, pois é essa que deverá constar na nta fiscal</t>
  </si>
  <si>
    <t>Na tela de cadastro do produto, no local onde tem código auto gerado deve ser inserido o código do produto, não é o código de barras,. Esse código é fornecido pelo fabricante, na natura por exemplo esse código identifica o produto no site e nas revistas para formação do pedido</t>
  </si>
  <si>
    <t>Na tela de e edição do produto, no local onde tem código auto gerado deve ser exibido o código do produto, não é o código de barras,. Esse código é fornecido pelo fabricante, na natura por exemplo esse código identifica o produto no site e nas revistas para formação do pedido</t>
  </si>
  <si>
    <t>Na tela de nusca de produtos na hora da venda, ao selecionar o produto o mesmo não é inserido no cupon de venda.</t>
  </si>
  <si>
    <t>Ao tentar inserir o produto pesquisado pelo nome, caso não possua disponibilidade no estoque, o sistema deve bloquear a entrada do produto no cupom, e informar que o estoque está zerado</t>
  </si>
  <si>
    <t>Na busca de produtos para a venda,  o sistema deve ir exibindo a lista de produtos cadastrados a medidada que o nome for sendo digitado para que seja escolhido o produto correto.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</si>
</sst>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4"/>
      <color rgb="FFFFFFFF"/>
      <name val="Carlito"/>
    </font>
    <font>
      <sz val="10"/>
      <color rgb="FFEAF4FF"/>
      <name val="Carlito"/>
    </font>
    <font>
      <b/>
      <sz val="13"/>
      <color rgb="FF173A5F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23A63"/>
      </patternFill>
    </fill>
    <fill>
      <patternFill patternType="solid">
        <fgColor rgb="FF1D4E7A"/>
      </patternFill>
    </fill>
    <fill>
      <patternFill patternType="solid">
        <fgColor rgb="FFE8F2FD"/>
      </patternFill>
    </fill>
    <fill>
      <patternFill patternType="solid">
        <fgColor rgb="FFEAF8EE"/>
      </patternFill>
    </fill>
    <fill>
      <patternFill patternType="solid">
        <fgColor rgb="FFFFF0F0"/>
      </patternFill>
    </fill>
    <fill>
      <patternFill patternType="solid">
        <fgColor rgb="FFFFF7E6"/>
      </patternFill>
    </fill>
    <fill>
      <patternFill patternType="solid">
        <fgColor rgb="FF2F79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wrapText="1"/>
    </xf>
    <xf numFmtId="0" fontId="4" fillId="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showGridLines="0" topLeftCell="A7" workbookViewId="0">
      <selection activeCell="I15" sqref="I15"/>
    </sheetView>
  </sheetViews>
  <sheetFormatPr defaultRowHeight="14.4" x14ac:dyDescent="0.3"/>
  <cols>
    <col min="1" max="1" width="12" customWidth="1"/>
    <col min="2" max="2" width="20" customWidth="1"/>
    <col min="3" max="3" width="34" customWidth="1"/>
    <col min="4" max="4" width="48" customWidth="1"/>
    <col min="5" max="5" width="12" customWidth="1"/>
    <col min="6" max="6" width="14" customWidth="1"/>
    <col min="7" max="7" width="18" customWidth="1"/>
    <col min="8" max="8" width="14" customWidth="1"/>
    <col min="9" max="9" width="28" customWidth="1"/>
  </cols>
  <sheetData>
    <row r="1" spans="1:9" ht="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0.8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17.399999999999999" x14ac:dyDescent="0.3">
      <c r="A4" s="3">
        <f>COUNTIF($A$9:$A$57,"&lt;&gt;")</f>
        <v>49</v>
      </c>
      <c r="B4" s="4">
        <f>COUNTIF($F$9:$F$57,"Aprovado")</f>
        <v>4</v>
      </c>
      <c r="C4" s="5">
        <f>COUNTIF($F$9:$F$57,"Falhou")</f>
        <v>0</v>
      </c>
      <c r="D4" s="6">
        <f>COUNTIF($F$9:$F$57,"Bloqueado")</f>
        <v>0</v>
      </c>
    </row>
    <row r="5" spans="1:9" ht="34.799999999999997" x14ac:dyDescent="0.3">
      <c r="A5" s="3" t="s">
        <v>2</v>
      </c>
      <c r="B5" s="4" t="s">
        <v>3</v>
      </c>
      <c r="C5" s="5" t="s">
        <v>4</v>
      </c>
      <c r="D5" s="6" t="s">
        <v>5</v>
      </c>
    </row>
    <row r="8" spans="1:9" x14ac:dyDescent="0.3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</row>
    <row r="9" spans="1:9" ht="43.2" x14ac:dyDescent="0.3">
      <c r="A9" s="11">
        <v>1</v>
      </c>
      <c r="B9" s="10" t="s">
        <v>15</v>
      </c>
      <c r="C9" s="10" t="s">
        <v>16</v>
      </c>
      <c r="D9" s="10" t="s">
        <v>17</v>
      </c>
      <c r="E9" s="11" t="s">
        <v>18</v>
      </c>
      <c r="F9" s="11" t="s">
        <v>135</v>
      </c>
      <c r="G9" s="10"/>
      <c r="H9" s="12"/>
      <c r="I9" s="10"/>
    </row>
    <row r="10" spans="1:9" ht="28.8" x14ac:dyDescent="0.3">
      <c r="A10" s="11">
        <v>2</v>
      </c>
      <c r="B10" s="10" t="s">
        <v>15</v>
      </c>
      <c r="C10" s="10" t="s">
        <v>20</v>
      </c>
      <c r="D10" s="10" t="s">
        <v>21</v>
      </c>
      <c r="E10" s="11" t="s">
        <v>18</v>
      </c>
      <c r="F10" s="11" t="s">
        <v>135</v>
      </c>
      <c r="G10" s="10"/>
      <c r="H10" s="12"/>
      <c r="I10" s="10"/>
    </row>
    <row r="11" spans="1:9" ht="28.8" x14ac:dyDescent="0.3">
      <c r="A11" s="11">
        <v>3</v>
      </c>
      <c r="B11" s="10" t="s">
        <v>15</v>
      </c>
      <c r="C11" s="10" t="s">
        <v>22</v>
      </c>
      <c r="D11" s="10" t="s">
        <v>23</v>
      </c>
      <c r="E11" s="11" t="s">
        <v>18</v>
      </c>
      <c r="F11" s="11" t="s">
        <v>19</v>
      </c>
      <c r="G11" s="10"/>
      <c r="H11" s="12"/>
      <c r="I11" s="10" t="s">
        <v>142</v>
      </c>
    </row>
    <row r="12" spans="1:9" ht="28.8" x14ac:dyDescent="0.3">
      <c r="A12" s="11">
        <v>4</v>
      </c>
      <c r="B12" s="10" t="s">
        <v>15</v>
      </c>
      <c r="C12" s="10" t="s">
        <v>24</v>
      </c>
      <c r="D12" s="10" t="s">
        <v>25</v>
      </c>
      <c r="E12" s="11" t="s">
        <v>26</v>
      </c>
      <c r="F12" s="11" t="s">
        <v>135</v>
      </c>
      <c r="G12" s="10"/>
      <c r="H12" s="12"/>
      <c r="I12" s="10"/>
    </row>
    <row r="13" spans="1:9" ht="28.8" x14ac:dyDescent="0.3">
      <c r="A13" s="11">
        <v>5</v>
      </c>
      <c r="B13" s="10" t="s">
        <v>27</v>
      </c>
      <c r="C13" s="10" t="s">
        <v>28</v>
      </c>
      <c r="D13" s="10" t="s">
        <v>29</v>
      </c>
      <c r="E13" s="11" t="s">
        <v>18</v>
      </c>
      <c r="F13" s="11" t="s">
        <v>132</v>
      </c>
      <c r="G13" s="10"/>
      <c r="H13" s="12"/>
      <c r="I13" s="10"/>
    </row>
    <row r="14" spans="1:9" ht="28.8" x14ac:dyDescent="0.3">
      <c r="A14" s="11">
        <v>6</v>
      </c>
      <c r="B14" s="10" t="s">
        <v>27</v>
      </c>
      <c r="C14" s="10" t="s">
        <v>30</v>
      </c>
      <c r="D14" s="10" t="s">
        <v>31</v>
      </c>
      <c r="E14" s="11" t="s">
        <v>18</v>
      </c>
      <c r="F14" s="11" t="s">
        <v>135</v>
      </c>
      <c r="G14" s="10"/>
      <c r="H14" s="12"/>
      <c r="I14" s="10"/>
    </row>
    <row r="15" spans="1:9" ht="28.8" x14ac:dyDescent="0.3">
      <c r="A15" s="11">
        <v>7</v>
      </c>
      <c r="B15" s="10" t="s">
        <v>27</v>
      </c>
      <c r="C15" s="10" t="s">
        <v>32</v>
      </c>
      <c r="D15" s="10" t="s">
        <v>33</v>
      </c>
      <c r="E15" s="11" t="s">
        <v>18</v>
      </c>
      <c r="F15" s="11" t="s">
        <v>19</v>
      </c>
      <c r="G15" s="10"/>
      <c r="H15" s="12"/>
      <c r="I15" s="10" t="s">
        <v>141</v>
      </c>
    </row>
    <row r="16" spans="1:9" ht="28.8" x14ac:dyDescent="0.3">
      <c r="A16" s="11">
        <v>8</v>
      </c>
      <c r="B16" s="10" t="s">
        <v>27</v>
      </c>
      <c r="C16" s="10" t="s">
        <v>34</v>
      </c>
      <c r="D16" s="10" t="s">
        <v>35</v>
      </c>
      <c r="E16" s="11" t="s">
        <v>18</v>
      </c>
      <c r="F16" s="11" t="s">
        <v>19</v>
      </c>
      <c r="G16" s="10"/>
      <c r="H16" s="12"/>
      <c r="I16" s="10" t="s">
        <v>144</v>
      </c>
    </row>
    <row r="17" spans="1:9" ht="28.8" x14ac:dyDescent="0.3">
      <c r="A17" s="11">
        <v>9</v>
      </c>
      <c r="B17" s="10" t="s">
        <v>27</v>
      </c>
      <c r="C17" s="10" t="s">
        <v>36</v>
      </c>
      <c r="D17" s="10" t="s">
        <v>37</v>
      </c>
      <c r="E17" s="11" t="s">
        <v>18</v>
      </c>
      <c r="F17" s="11" t="s">
        <v>19</v>
      </c>
      <c r="G17" s="10"/>
      <c r="H17" s="12"/>
      <c r="I17" s="10" t="s">
        <v>144</v>
      </c>
    </row>
    <row r="18" spans="1:9" ht="28.8" x14ac:dyDescent="0.3">
      <c r="A18" s="11">
        <v>10</v>
      </c>
      <c r="B18" s="10" t="s">
        <v>27</v>
      </c>
      <c r="C18" s="10" t="s">
        <v>38</v>
      </c>
      <c r="D18" s="10" t="s">
        <v>39</v>
      </c>
      <c r="E18" s="11" t="s">
        <v>26</v>
      </c>
      <c r="F18" s="11" t="s">
        <v>19</v>
      </c>
      <c r="G18" s="10"/>
      <c r="H18" s="12"/>
      <c r="I18" s="10"/>
    </row>
    <row r="19" spans="1:9" ht="28.8" x14ac:dyDescent="0.3">
      <c r="A19" s="11">
        <v>11</v>
      </c>
      <c r="B19" s="10" t="s">
        <v>27</v>
      </c>
      <c r="C19" s="10" t="s">
        <v>40</v>
      </c>
      <c r="D19" s="10" t="s">
        <v>41</v>
      </c>
      <c r="E19" s="11" t="s">
        <v>26</v>
      </c>
      <c r="F19" s="11" t="s">
        <v>19</v>
      </c>
      <c r="G19" s="10"/>
      <c r="H19" s="12"/>
      <c r="I19" s="10"/>
    </row>
    <row r="20" spans="1:9" ht="28.8" x14ac:dyDescent="0.3">
      <c r="A20" s="11">
        <v>12</v>
      </c>
      <c r="B20" s="10" t="s">
        <v>42</v>
      </c>
      <c r="C20" s="10" t="s">
        <v>43</v>
      </c>
      <c r="D20" s="10" t="s">
        <v>44</v>
      </c>
      <c r="E20" s="11" t="s">
        <v>18</v>
      </c>
      <c r="F20" s="11" t="s">
        <v>19</v>
      </c>
      <c r="G20" s="10"/>
      <c r="H20" s="12"/>
      <c r="I20" s="10"/>
    </row>
    <row r="21" spans="1:9" ht="28.8" x14ac:dyDescent="0.3">
      <c r="A21" s="11">
        <v>13</v>
      </c>
      <c r="B21" s="10" t="s">
        <v>42</v>
      </c>
      <c r="C21" s="10" t="s">
        <v>45</v>
      </c>
      <c r="D21" s="10" t="s">
        <v>46</v>
      </c>
      <c r="E21" s="11" t="s">
        <v>18</v>
      </c>
      <c r="F21" s="11" t="s">
        <v>19</v>
      </c>
      <c r="G21" s="10"/>
      <c r="H21" s="12"/>
      <c r="I21" s="10"/>
    </row>
    <row r="22" spans="1:9" ht="28.8" x14ac:dyDescent="0.3">
      <c r="A22" s="11">
        <v>14</v>
      </c>
      <c r="B22" s="10" t="s">
        <v>42</v>
      </c>
      <c r="C22" s="10" t="s">
        <v>47</v>
      </c>
      <c r="D22" s="10" t="s">
        <v>48</v>
      </c>
      <c r="E22" s="11" t="s">
        <v>26</v>
      </c>
      <c r="F22" s="11" t="s">
        <v>19</v>
      </c>
      <c r="G22" s="10"/>
      <c r="H22" s="12"/>
      <c r="I22" s="10"/>
    </row>
    <row r="23" spans="1:9" ht="28.8" x14ac:dyDescent="0.3">
      <c r="A23" s="11">
        <v>15</v>
      </c>
      <c r="B23" s="10" t="s">
        <v>49</v>
      </c>
      <c r="C23" s="10" t="s">
        <v>50</v>
      </c>
      <c r="D23" s="10" t="s">
        <v>51</v>
      </c>
      <c r="E23" s="11" t="s">
        <v>18</v>
      </c>
      <c r="F23" s="11" t="s">
        <v>19</v>
      </c>
      <c r="G23" s="10"/>
      <c r="H23" s="12"/>
      <c r="I23" s="10"/>
    </row>
    <row r="24" spans="1:9" ht="28.8" x14ac:dyDescent="0.3">
      <c r="A24" s="11">
        <v>16</v>
      </c>
      <c r="B24" s="10" t="s">
        <v>49</v>
      </c>
      <c r="C24" s="10" t="s">
        <v>52</v>
      </c>
      <c r="D24" s="10" t="s">
        <v>53</v>
      </c>
      <c r="E24" s="11" t="s">
        <v>26</v>
      </c>
      <c r="F24" s="11" t="s">
        <v>19</v>
      </c>
      <c r="G24" s="10"/>
      <c r="H24" s="12"/>
      <c r="I24" s="10"/>
    </row>
    <row r="25" spans="1:9" ht="43.2" x14ac:dyDescent="0.3">
      <c r="A25" s="11">
        <v>17</v>
      </c>
      <c r="B25" s="10" t="s">
        <v>49</v>
      </c>
      <c r="C25" s="10" t="s">
        <v>54</v>
      </c>
      <c r="D25" s="10" t="s">
        <v>55</v>
      </c>
      <c r="E25" s="11" t="s">
        <v>18</v>
      </c>
      <c r="F25" s="11" t="s">
        <v>19</v>
      </c>
      <c r="G25" s="10"/>
      <c r="H25" s="12"/>
      <c r="I25" s="10"/>
    </row>
    <row r="26" spans="1:9" ht="28.8" x14ac:dyDescent="0.3">
      <c r="A26" s="11">
        <v>18</v>
      </c>
      <c r="B26" s="10" t="s">
        <v>49</v>
      </c>
      <c r="C26" s="10" t="s">
        <v>56</v>
      </c>
      <c r="D26" s="10" t="s">
        <v>57</v>
      </c>
      <c r="E26" s="11" t="s">
        <v>18</v>
      </c>
      <c r="F26" s="11" t="s">
        <v>19</v>
      </c>
      <c r="G26" s="10"/>
      <c r="H26" s="12"/>
      <c r="I26" s="10"/>
    </row>
    <row r="27" spans="1:9" ht="28.8" x14ac:dyDescent="0.3">
      <c r="A27" s="11">
        <v>19</v>
      </c>
      <c r="B27" s="10" t="s">
        <v>58</v>
      </c>
      <c r="C27" s="10" t="s">
        <v>59</v>
      </c>
      <c r="D27" s="10" t="s">
        <v>60</v>
      </c>
      <c r="E27" s="11" t="s">
        <v>18</v>
      </c>
      <c r="F27" s="11" t="s">
        <v>19</v>
      </c>
      <c r="G27" s="10"/>
      <c r="H27" s="12"/>
      <c r="I27" s="10"/>
    </row>
    <row r="28" spans="1:9" ht="28.8" x14ac:dyDescent="0.3">
      <c r="A28" s="11">
        <v>20</v>
      </c>
      <c r="B28" s="10" t="s">
        <v>58</v>
      </c>
      <c r="C28" s="10" t="s">
        <v>61</v>
      </c>
      <c r="D28" s="10" t="s">
        <v>62</v>
      </c>
      <c r="E28" s="11" t="s">
        <v>18</v>
      </c>
      <c r="F28" s="11" t="s">
        <v>19</v>
      </c>
      <c r="G28" s="10"/>
      <c r="H28" s="12"/>
      <c r="I28" s="10"/>
    </row>
    <row r="29" spans="1:9" ht="28.8" x14ac:dyDescent="0.3">
      <c r="A29" s="11">
        <v>21</v>
      </c>
      <c r="B29" s="10" t="s">
        <v>58</v>
      </c>
      <c r="C29" s="10" t="s">
        <v>63</v>
      </c>
      <c r="D29" s="10" t="s">
        <v>64</v>
      </c>
      <c r="E29" s="11" t="s">
        <v>18</v>
      </c>
      <c r="F29" s="11" t="s">
        <v>19</v>
      </c>
      <c r="G29" s="10"/>
      <c r="H29" s="12"/>
      <c r="I29" s="10"/>
    </row>
    <row r="30" spans="1:9" ht="28.8" x14ac:dyDescent="0.3">
      <c r="A30" s="11">
        <v>22</v>
      </c>
      <c r="B30" s="10" t="s">
        <v>58</v>
      </c>
      <c r="C30" s="10" t="s">
        <v>65</v>
      </c>
      <c r="D30" s="10" t="s">
        <v>66</v>
      </c>
      <c r="E30" s="11" t="s">
        <v>26</v>
      </c>
      <c r="F30" s="11" t="s">
        <v>19</v>
      </c>
      <c r="G30" s="10"/>
      <c r="H30" s="12"/>
      <c r="I30" s="10"/>
    </row>
    <row r="31" spans="1:9" ht="28.8" x14ac:dyDescent="0.3">
      <c r="A31" s="11">
        <v>23</v>
      </c>
      <c r="B31" s="10" t="s">
        <v>58</v>
      </c>
      <c r="C31" s="10" t="s">
        <v>67</v>
      </c>
      <c r="D31" s="10" t="s">
        <v>68</v>
      </c>
      <c r="E31" s="11" t="s">
        <v>18</v>
      </c>
      <c r="F31" s="11" t="s">
        <v>19</v>
      </c>
      <c r="G31" s="10"/>
      <c r="H31" s="12"/>
      <c r="I31" s="10"/>
    </row>
    <row r="32" spans="1:9" ht="28.8" x14ac:dyDescent="0.3">
      <c r="A32" s="11">
        <v>24</v>
      </c>
      <c r="B32" s="10" t="s">
        <v>58</v>
      </c>
      <c r="C32" s="10" t="s">
        <v>69</v>
      </c>
      <c r="D32" s="10" t="s">
        <v>70</v>
      </c>
      <c r="E32" s="11" t="s">
        <v>18</v>
      </c>
      <c r="F32" s="11" t="s">
        <v>19</v>
      </c>
      <c r="G32" s="10"/>
      <c r="H32" s="12"/>
      <c r="I32" s="10"/>
    </row>
    <row r="33" spans="1:9" ht="28.8" x14ac:dyDescent="0.3">
      <c r="A33" s="11">
        <v>25</v>
      </c>
      <c r="B33" s="10" t="s">
        <v>58</v>
      </c>
      <c r="C33" s="10" t="s">
        <v>71</v>
      </c>
      <c r="D33" s="10" t="s">
        <v>72</v>
      </c>
      <c r="E33" s="11" t="s">
        <v>18</v>
      </c>
      <c r="F33" s="11" t="s">
        <v>19</v>
      </c>
      <c r="G33" s="10"/>
      <c r="H33" s="12"/>
      <c r="I33" s="10"/>
    </row>
    <row r="34" spans="1:9" ht="28.8" x14ac:dyDescent="0.3">
      <c r="A34" s="11">
        <v>26</v>
      </c>
      <c r="B34" s="10" t="s">
        <v>58</v>
      </c>
      <c r="C34" s="10" t="s">
        <v>73</v>
      </c>
      <c r="D34" s="10" t="s">
        <v>74</v>
      </c>
      <c r="E34" s="11" t="s">
        <v>18</v>
      </c>
      <c r="F34" s="11" t="s">
        <v>19</v>
      </c>
      <c r="G34" s="10"/>
      <c r="H34" s="12"/>
      <c r="I34" s="10"/>
    </row>
    <row r="35" spans="1:9" ht="28.8" x14ac:dyDescent="0.3">
      <c r="A35" s="11">
        <v>27</v>
      </c>
      <c r="B35" s="10" t="s">
        <v>58</v>
      </c>
      <c r="C35" s="10" t="s">
        <v>75</v>
      </c>
      <c r="D35" s="10" t="s">
        <v>76</v>
      </c>
      <c r="E35" s="11" t="s">
        <v>18</v>
      </c>
      <c r="F35" s="11" t="s">
        <v>19</v>
      </c>
      <c r="G35" s="10"/>
      <c r="H35" s="12"/>
      <c r="I35" s="10"/>
    </row>
    <row r="36" spans="1:9" ht="28.8" x14ac:dyDescent="0.3">
      <c r="A36" s="11">
        <v>28</v>
      </c>
      <c r="B36" s="10" t="s">
        <v>58</v>
      </c>
      <c r="C36" s="10" t="s">
        <v>77</v>
      </c>
      <c r="D36" s="10" t="s">
        <v>78</v>
      </c>
      <c r="E36" s="11" t="s">
        <v>26</v>
      </c>
      <c r="F36" s="11" t="s">
        <v>19</v>
      </c>
      <c r="G36" s="10"/>
      <c r="H36" s="12"/>
      <c r="I36" s="10"/>
    </row>
    <row r="37" spans="1:9" ht="28.8" x14ac:dyDescent="0.3">
      <c r="A37" s="11">
        <v>29</v>
      </c>
      <c r="B37" s="10" t="s">
        <v>58</v>
      </c>
      <c r="C37" s="10" t="s">
        <v>79</v>
      </c>
      <c r="D37" s="10" t="s">
        <v>80</v>
      </c>
      <c r="E37" s="11" t="s">
        <v>18</v>
      </c>
      <c r="F37" s="11" t="s">
        <v>19</v>
      </c>
      <c r="G37" s="10"/>
      <c r="H37" s="12"/>
      <c r="I37" s="10"/>
    </row>
    <row r="38" spans="1:9" ht="28.8" x14ac:dyDescent="0.3">
      <c r="A38" s="11">
        <v>30</v>
      </c>
      <c r="B38" s="10" t="s">
        <v>81</v>
      </c>
      <c r="C38" s="10" t="s">
        <v>82</v>
      </c>
      <c r="D38" s="10" t="s">
        <v>83</v>
      </c>
      <c r="E38" s="11" t="s">
        <v>18</v>
      </c>
      <c r="F38" s="11" t="s">
        <v>19</v>
      </c>
      <c r="G38" s="10"/>
      <c r="H38" s="12"/>
      <c r="I38" s="10"/>
    </row>
    <row r="39" spans="1:9" ht="28.8" x14ac:dyDescent="0.3">
      <c r="A39" s="11">
        <v>31</v>
      </c>
      <c r="B39" s="10" t="s">
        <v>81</v>
      </c>
      <c r="C39" s="10" t="s">
        <v>84</v>
      </c>
      <c r="D39" s="10" t="s">
        <v>85</v>
      </c>
      <c r="E39" s="11" t="s">
        <v>18</v>
      </c>
      <c r="F39" s="11" t="s">
        <v>19</v>
      </c>
      <c r="G39" s="10"/>
      <c r="H39" s="12"/>
      <c r="I39" s="10"/>
    </row>
    <row r="40" spans="1:9" ht="28.8" x14ac:dyDescent="0.3">
      <c r="A40" s="11">
        <v>32</v>
      </c>
      <c r="B40" s="10" t="s">
        <v>81</v>
      </c>
      <c r="C40" s="10" t="s">
        <v>86</v>
      </c>
      <c r="D40" s="10" t="s">
        <v>87</v>
      </c>
      <c r="E40" s="11" t="s">
        <v>18</v>
      </c>
      <c r="F40" s="11" t="s">
        <v>19</v>
      </c>
      <c r="G40" s="10"/>
      <c r="H40" s="12"/>
      <c r="I40" s="10"/>
    </row>
    <row r="41" spans="1:9" ht="28.8" x14ac:dyDescent="0.3">
      <c r="A41" s="11">
        <v>33</v>
      </c>
      <c r="B41" s="10" t="s">
        <v>81</v>
      </c>
      <c r="C41" s="10" t="s">
        <v>88</v>
      </c>
      <c r="D41" s="10" t="s">
        <v>89</v>
      </c>
      <c r="E41" s="11" t="s">
        <v>18</v>
      </c>
      <c r="F41" s="11" t="s">
        <v>19</v>
      </c>
      <c r="G41" s="10"/>
      <c r="H41" s="12"/>
      <c r="I41" s="10"/>
    </row>
    <row r="42" spans="1:9" ht="28.8" x14ac:dyDescent="0.3">
      <c r="A42" s="11">
        <v>34</v>
      </c>
      <c r="B42" s="10" t="s">
        <v>81</v>
      </c>
      <c r="C42" s="10" t="s">
        <v>90</v>
      </c>
      <c r="D42" s="10" t="s">
        <v>91</v>
      </c>
      <c r="E42" s="11" t="s">
        <v>18</v>
      </c>
      <c r="F42" s="11" t="s">
        <v>19</v>
      </c>
      <c r="G42" s="10"/>
      <c r="H42" s="12"/>
      <c r="I42" s="10"/>
    </row>
    <row r="43" spans="1:9" ht="28.8" x14ac:dyDescent="0.3">
      <c r="A43" s="11">
        <v>35</v>
      </c>
      <c r="B43" s="10" t="s">
        <v>92</v>
      </c>
      <c r="C43" s="10" t="s">
        <v>93</v>
      </c>
      <c r="D43" s="10" t="s">
        <v>94</v>
      </c>
      <c r="E43" s="11" t="s">
        <v>26</v>
      </c>
      <c r="F43" s="11" t="s">
        <v>19</v>
      </c>
      <c r="G43" s="10"/>
      <c r="H43" s="12"/>
      <c r="I43" s="10"/>
    </row>
    <row r="44" spans="1:9" ht="28.8" x14ac:dyDescent="0.3">
      <c r="A44" s="11">
        <v>36</v>
      </c>
      <c r="B44" s="10" t="s">
        <v>92</v>
      </c>
      <c r="C44" s="10" t="s">
        <v>95</v>
      </c>
      <c r="D44" s="10" t="s">
        <v>96</v>
      </c>
      <c r="E44" s="11" t="s">
        <v>26</v>
      </c>
      <c r="F44" s="11" t="s">
        <v>19</v>
      </c>
      <c r="G44" s="10"/>
      <c r="H44" s="12"/>
      <c r="I44" s="10"/>
    </row>
    <row r="45" spans="1:9" ht="28.8" x14ac:dyDescent="0.3">
      <c r="A45" s="11">
        <v>37</v>
      </c>
      <c r="B45" s="10" t="s">
        <v>97</v>
      </c>
      <c r="C45" s="10" t="s">
        <v>98</v>
      </c>
      <c r="D45" s="10" t="s">
        <v>99</v>
      </c>
      <c r="E45" s="11" t="s">
        <v>18</v>
      </c>
      <c r="F45" s="11" t="s">
        <v>19</v>
      </c>
      <c r="G45" s="10"/>
      <c r="H45" s="12"/>
      <c r="I45" s="10"/>
    </row>
    <row r="46" spans="1:9" ht="28.8" x14ac:dyDescent="0.3">
      <c r="A46" s="11">
        <v>38</v>
      </c>
      <c r="B46" s="10" t="s">
        <v>97</v>
      </c>
      <c r="C46" s="10" t="s">
        <v>100</v>
      </c>
      <c r="D46" s="10" t="s">
        <v>101</v>
      </c>
      <c r="E46" s="11" t="s">
        <v>18</v>
      </c>
      <c r="F46" s="11" t="s">
        <v>19</v>
      </c>
      <c r="G46" s="10"/>
      <c r="H46" s="12"/>
      <c r="I46" s="10"/>
    </row>
    <row r="47" spans="1:9" ht="28.8" x14ac:dyDescent="0.3">
      <c r="A47" s="11">
        <v>39</v>
      </c>
      <c r="B47" s="10" t="s">
        <v>102</v>
      </c>
      <c r="C47" s="10" t="s">
        <v>103</v>
      </c>
      <c r="D47" s="10" t="s">
        <v>104</v>
      </c>
      <c r="E47" s="11" t="s">
        <v>18</v>
      </c>
      <c r="F47" s="11" t="s">
        <v>19</v>
      </c>
      <c r="G47" s="10"/>
      <c r="H47" s="12"/>
      <c r="I47" s="10"/>
    </row>
    <row r="48" spans="1:9" ht="28.8" x14ac:dyDescent="0.3">
      <c r="A48" s="11">
        <v>40</v>
      </c>
      <c r="B48" s="10" t="s">
        <v>102</v>
      </c>
      <c r="C48" s="10" t="s">
        <v>105</v>
      </c>
      <c r="D48" s="10" t="s">
        <v>106</v>
      </c>
      <c r="E48" s="11" t="s">
        <v>18</v>
      </c>
      <c r="F48" s="11" t="s">
        <v>19</v>
      </c>
      <c r="G48" s="10"/>
      <c r="H48" s="12"/>
      <c r="I48" s="10"/>
    </row>
    <row r="49" spans="1:9" ht="28.8" x14ac:dyDescent="0.3">
      <c r="A49" s="11">
        <v>41</v>
      </c>
      <c r="B49" s="10" t="s">
        <v>102</v>
      </c>
      <c r="C49" s="10" t="s">
        <v>107</v>
      </c>
      <c r="D49" s="10" t="s">
        <v>108</v>
      </c>
      <c r="E49" s="11" t="s">
        <v>18</v>
      </c>
      <c r="F49" s="11" t="s">
        <v>19</v>
      </c>
      <c r="G49" s="10"/>
      <c r="H49" s="12"/>
      <c r="I49" s="10"/>
    </row>
    <row r="50" spans="1:9" ht="28.8" x14ac:dyDescent="0.3">
      <c r="A50" s="11">
        <v>42</v>
      </c>
      <c r="B50" s="10" t="s">
        <v>102</v>
      </c>
      <c r="C50" s="10" t="s">
        <v>109</v>
      </c>
      <c r="D50" s="10" t="s">
        <v>110</v>
      </c>
      <c r="E50" s="11" t="s">
        <v>18</v>
      </c>
      <c r="F50" s="11" t="s">
        <v>19</v>
      </c>
      <c r="G50" s="10"/>
      <c r="H50" s="12"/>
      <c r="I50" s="10"/>
    </row>
    <row r="51" spans="1:9" ht="28.8" x14ac:dyDescent="0.3">
      <c r="A51" s="11">
        <v>43</v>
      </c>
      <c r="B51" s="10" t="s">
        <v>111</v>
      </c>
      <c r="C51" s="10" t="s">
        <v>112</v>
      </c>
      <c r="D51" s="10" t="s">
        <v>113</v>
      </c>
      <c r="E51" s="11" t="s">
        <v>18</v>
      </c>
      <c r="F51" s="11" t="s">
        <v>19</v>
      </c>
      <c r="G51" s="10"/>
      <c r="H51" s="12"/>
      <c r="I51" s="10"/>
    </row>
    <row r="52" spans="1:9" ht="28.8" x14ac:dyDescent="0.3">
      <c r="A52" s="11">
        <v>44</v>
      </c>
      <c r="B52" s="10" t="s">
        <v>111</v>
      </c>
      <c r="C52" s="10" t="s">
        <v>114</v>
      </c>
      <c r="D52" s="10" t="s">
        <v>115</v>
      </c>
      <c r="E52" s="11" t="s">
        <v>18</v>
      </c>
      <c r="F52" s="11" t="s">
        <v>19</v>
      </c>
      <c r="G52" s="10"/>
      <c r="H52" s="12"/>
      <c r="I52" s="10"/>
    </row>
    <row r="53" spans="1:9" ht="28.8" x14ac:dyDescent="0.3">
      <c r="A53" s="11">
        <v>45</v>
      </c>
      <c r="B53" s="10" t="s">
        <v>111</v>
      </c>
      <c r="C53" s="10" t="s">
        <v>116</v>
      </c>
      <c r="D53" s="10" t="s">
        <v>117</v>
      </c>
      <c r="E53" s="11" t="s">
        <v>18</v>
      </c>
      <c r="F53" s="11" t="s">
        <v>19</v>
      </c>
      <c r="G53" s="10"/>
      <c r="H53" s="12"/>
      <c r="I53" s="10"/>
    </row>
    <row r="54" spans="1:9" ht="28.8" x14ac:dyDescent="0.3">
      <c r="A54" s="11">
        <v>46</v>
      </c>
      <c r="B54" s="10" t="s">
        <v>118</v>
      </c>
      <c r="C54" s="10" t="s">
        <v>119</v>
      </c>
      <c r="D54" s="10" t="s">
        <v>120</v>
      </c>
      <c r="E54" s="11" t="s">
        <v>26</v>
      </c>
      <c r="F54" s="11" t="s">
        <v>19</v>
      </c>
      <c r="G54" s="10"/>
      <c r="H54" s="12"/>
      <c r="I54" s="10"/>
    </row>
    <row r="55" spans="1:9" ht="28.8" x14ac:dyDescent="0.3">
      <c r="A55" s="11">
        <v>47</v>
      </c>
      <c r="B55" s="10" t="s">
        <v>118</v>
      </c>
      <c r="C55" s="10" t="s">
        <v>121</v>
      </c>
      <c r="D55" s="10" t="s">
        <v>122</v>
      </c>
      <c r="E55" s="11" t="s">
        <v>26</v>
      </c>
      <c r="F55" s="11" t="s">
        <v>19</v>
      </c>
      <c r="G55" s="10"/>
      <c r="H55" s="12"/>
      <c r="I55" s="10"/>
    </row>
    <row r="56" spans="1:9" ht="28.8" x14ac:dyDescent="0.3">
      <c r="A56" s="11">
        <v>48</v>
      </c>
      <c r="B56" s="10" t="s">
        <v>118</v>
      </c>
      <c r="C56" s="10" t="s">
        <v>123</v>
      </c>
      <c r="D56" s="10" t="s">
        <v>124</v>
      </c>
      <c r="E56" s="11" t="s">
        <v>26</v>
      </c>
      <c r="F56" s="11" t="s">
        <v>19</v>
      </c>
      <c r="G56" s="10"/>
      <c r="H56" s="12"/>
      <c r="I56" s="10"/>
    </row>
    <row r="57" spans="1:9" ht="28.8" x14ac:dyDescent="0.3">
      <c r="A57" s="11">
        <v>49</v>
      </c>
      <c r="B57" s="10" t="s">
        <v>118</v>
      </c>
      <c r="C57" s="10" t="s">
        <v>125</v>
      </c>
      <c r="D57" s="10" t="s">
        <v>126</v>
      </c>
      <c r="E57" s="11" t="s">
        <v>18</v>
      </c>
      <c r="F57" s="11" t="s">
        <v>19</v>
      </c>
      <c r="G57" s="10"/>
      <c r="H57" s="12"/>
      <c r="I57" s="1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51627-5AFB-4B34-8BC5-9064D378B2FD}">
          <x14:formula1>
            <xm:f>Listas!$A$4:$A$8</xm:f>
          </x14:formula1>
          <xm:sqref>F9:F57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>
      <selection activeCell="B9" sqref="B9"/>
    </sheetView>
  </sheetViews>
  <sheetFormatPr defaultRowHeight="14.4" x14ac:dyDescent="0.3"/>
  <cols>
    <col min="1" max="1" width="15" customWidth="1"/>
    <col min="2" max="2" width="39.33203125" customWidth="1"/>
    <col min="4" max="4" width="12.109375" customWidth="1"/>
    <col min="5" max="5" width="39.33203125" customWidth="1"/>
  </cols>
  <sheetData>
    <row r="1" spans="1:5" ht="17.399999999999999" x14ac:dyDescent="0.3">
      <c r="A1" s="14" t="s">
        <v>127</v>
      </c>
      <c r="B1" s="13"/>
      <c r="C1" s="13"/>
      <c r="D1" s="13"/>
      <c r="E1" s="13"/>
    </row>
    <row r="3" spans="1:5" x14ac:dyDescent="0.3">
      <c r="A3" s="7" t="s">
        <v>11</v>
      </c>
      <c r="B3" s="7" t="s">
        <v>128</v>
      </c>
      <c r="D3" s="7" t="s">
        <v>10</v>
      </c>
      <c r="E3" s="7" t="s">
        <v>129</v>
      </c>
    </row>
    <row r="4" spans="1:5" ht="28.8" x14ac:dyDescent="0.3">
      <c r="A4" s="9" t="s">
        <v>19</v>
      </c>
      <c r="B4" s="9" t="s">
        <v>130</v>
      </c>
      <c r="D4" s="9" t="s">
        <v>18</v>
      </c>
      <c r="E4" s="9" t="s">
        <v>131</v>
      </c>
    </row>
    <row r="5" spans="1:5" ht="28.8" x14ac:dyDescent="0.3">
      <c r="A5" s="9" t="s">
        <v>132</v>
      </c>
      <c r="B5" s="9" t="s">
        <v>133</v>
      </c>
      <c r="D5" s="9" t="s">
        <v>26</v>
      </c>
      <c r="E5" s="9" t="s">
        <v>134</v>
      </c>
    </row>
    <row r="6" spans="1:5" ht="28.8" x14ac:dyDescent="0.3">
      <c r="A6" s="9" t="s">
        <v>135</v>
      </c>
      <c r="B6" s="9" t="s">
        <v>136</v>
      </c>
      <c r="D6" s="9" t="s">
        <v>137</v>
      </c>
      <c r="E6" s="9" t="s">
        <v>138</v>
      </c>
    </row>
    <row r="7" spans="1:5" ht="28.8" x14ac:dyDescent="0.3">
      <c r="A7" s="9" t="s">
        <v>4</v>
      </c>
      <c r="B7" s="9" t="s">
        <v>139</v>
      </c>
    </row>
    <row r="8" spans="1:5" ht="28.8" x14ac:dyDescent="0.3">
      <c r="A8" s="9" t="s">
        <v>5</v>
      </c>
      <c r="B8" s="9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C634-7FFC-47A9-823C-E81030169370}">
  <dimension ref="A1:B3"/>
  <sheetViews>
    <sheetView tabSelected="1" workbookViewId="0">
      <selection activeCell="C15" sqref="C15"/>
    </sheetView>
  </sheetViews>
  <sheetFormatPr defaultRowHeight="14.4" x14ac:dyDescent="0.3"/>
  <sheetData>
    <row r="1" spans="1:2" x14ac:dyDescent="0.3">
      <c r="A1">
        <v>1</v>
      </c>
      <c r="B1" t="s">
        <v>150</v>
      </c>
    </row>
    <row r="2" spans="1:2" x14ac:dyDescent="0.3">
      <c r="A2">
        <v>2</v>
      </c>
      <c r="B2" t="s">
        <v>149</v>
      </c>
    </row>
    <row r="3" spans="1:2" x14ac:dyDescent="0.3">
      <c r="A3">
        <v>3</v>
      </c>
      <c r="B3" t="s">
        <v>148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E5CA-66CA-4E68-A853-83D3164DB9DC}">
  <dimension ref="A1:B4"/>
  <sheetViews>
    <sheetView workbookViewId="0">
      <selection activeCell="A6" sqref="A6"/>
    </sheetView>
  </sheetViews>
  <sheetFormatPr defaultRowHeight="14.4" x14ac:dyDescent="0.3"/>
  <cols>
    <col min="1" max="1" width="8.88671875" style="15"/>
  </cols>
  <sheetData>
    <row r="1" spans="1:2" x14ac:dyDescent="0.3">
      <c r="A1" s="15">
        <v>1</v>
      </c>
      <c r="B1" t="s">
        <v>143</v>
      </c>
    </row>
    <row r="2" spans="1:2" x14ac:dyDescent="0.3">
      <c r="A2" s="15">
        <v>2</v>
      </c>
      <c r="B2" t="s">
        <v>145</v>
      </c>
    </row>
    <row r="3" spans="1:2" x14ac:dyDescent="0.3">
      <c r="A3" s="15">
        <v>3</v>
      </c>
      <c r="B3" t="s">
        <v>146</v>
      </c>
    </row>
    <row r="4" spans="1:2" x14ac:dyDescent="0.3">
      <c r="A4" s="15">
        <v>4</v>
      </c>
      <c r="B4" t="s">
        <v>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Checklist</vt:lpstr>
      <vt:lpstr>Listas</vt:lpstr>
      <vt:lpstr>Evidencias venda</vt:lpstr>
      <vt:lpstr>Evidencias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Dídimo Oliveira</cp:lastModifiedBy>
  <dcterms:modified xsi:type="dcterms:W3CDTF">2026-05-08T23:09:47Z</dcterms:modified>
</cp:coreProperties>
</file>