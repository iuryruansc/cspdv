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bmp" ContentType="image/bmp"/>
  <Default Extension="jpeg" ContentType="image/jpeg"/>
  <Default Extension="png" ContentType="image/png"/>
  <Default Extension="gif" ContentType="image/gif"/>
  <Default Extension="tif" ContentType="image/tif"/>
  <Default Extension="svg" ContentType="image/svg+xml"/>
  <Default Extension="emf" ContentType="image/x-emf"/>
  <Default Extension="wmf" ContentType="image/x-wmf"/>
  <Default Extension="pct" ContentType="image/pct"/>
  <Default Extension="pcx" ContentType="image/pcx"/>
  <Default Extension="tga" ContentType="image/tga"/>
  <Default Extension="bin" ContentType="application/vnd.openxmlformats-officedocument.oleObject"/>
  <Override PartName="/docProps/core.xml" ContentType="application/vnd.openxmlformats-package.core-properties+xml"/>
  <Override PartName="/docProps/app.xml" ContentType="application/vnd.openxmlformats-officedocument.extended-properti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 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fileSharing readOnlyRecommended="0" userName="iuryr"/>
  <workbookPr/>
  <bookViews>
    <workbookView activeTab="0" xWindow="240" yWindow="60" windowWidth="16380" windowHeight="8190" tabRatio="500"/>
  </bookViews>
  <sheets>
    <sheet name="Checklist" sheetId="1" r:id="rId4"/>
    <sheet name="Listas" sheetId="2" r:id="rId5"/>
  </sheets>
  <calcPr iterateDelta="0.0001"/>
  <extLst>
    <ext uri="smNativeData">
      <pm:revision xmlns:pm="smNativeData" day="1777598330" val="1230" rev="124" revOS="4" revMin="124" revMax="0"/>
      <pm:docPrefs xmlns:pm="smNativeData" id="1777598330" fixedDigits="0" showNotice="1" showFrameBounds="1" autoChart="1" recalcOnPrint="1" recalcOnCopy="1" finalRounding="1" compatTextArt="1" tab="567" useDefinedPrintRange="1" printArea="currentSheet"/>
      <pm:compatibility xmlns:pm="smNativeData" id="1777598330" overlapCells="1"/>
      <pm:defCurrency xmlns:pm="smNativeData" id="1777598330"/>
    </ext>
  </extLst>
</workbook>
</file>

<file path=xl/sharedStrings.xml><?xml version="1.0" encoding="utf-8"?>
<sst xmlns="http://schemas.openxmlformats.org/spreadsheetml/2006/main" count="453" uniqueCount="415">
  <si>
    <t>✦  Checklist de Homologação Operacional — CSPdv</t>
  </si>
  <si>
    <t>Use esta planilha para validar o fluxo inicial de setup, administração, vendas, caixa e estoque. Atualize os campos de status, responsável, data e evidências durante os testes.</t>
  </si>
  <si>
    <t>TOTAL</t>
  </si>
  <si>
    <t>APROVADOS</t>
  </si>
  <si>
    <t>FALHOU</t>
  </si>
  <si>
    <t>BLOQUEADO</t>
  </si>
  <si>
    <t>ID</t>
  </si>
  <si>
    <t>Área</t>
  </si>
  <si>
    <t>Cenário</t>
  </si>
  <si>
    <t>Resultado Esperado</t>
  </si>
  <si>
    <t>Prioridade</t>
  </si>
  <si>
    <t>Status</t>
  </si>
  <si>
    <t>Responsável</t>
  </si>
  <si>
    <t>Data do Teste</t>
  </si>
  <si>
    <t>Evidências / Observações</t>
  </si>
  <si>
    <t>SETUP E ACESSO</t>
  </si>
  <si>
    <t>Executar o wizard inicial em banco limpo</t>
  </si>
  <si>
    <t>Empresa, PDV, usuario admin, perfil, permissoes e formas de pagamento padrao devem ser criados sem erro.</t>
  </si>
  <si>
    <t>Alta</t>
  </si>
  <si>
    <t>Aprovado</t>
  </si>
  <si>
    <t>Iury</t>
  </si>
  <si>
    <t>SETUP E ACESSO</t>
  </si>
  <si>
    <t>Validar login com usuario admin</t>
  </si>
  <si>
    <t>O sistema deve autenticar e liberar acesso ao painel administrativo.</t>
  </si>
  <si>
    <t>Alta</t>
  </si>
  <si>
    <t>Aprovado</t>
  </si>
  <si>
    <t>Iury</t>
  </si>
  <si>
    <t>SETUP E ACESSO</t>
  </si>
  <si>
    <t>Validar login com usuario operacional</t>
  </si>
  <si>
    <t>O sistema deve autenticar e liberar apenas os modulos permitidos.</t>
  </si>
  <si>
    <t>Alta</t>
  </si>
  <si>
    <t>Aprovado</t>
  </si>
  <si>
    <t>Iury</t>
  </si>
  <si>
    <t>Ajustar o layout dos cards em casos de menos permissões.</t>
  </si>
  <si>
    <t>SETUP E ACESSO</t>
  </si>
  <si>
    <t>Restaurar sessao persistida</t>
  </si>
  <si>
    <t>Ao reabrir o programa dentro do prazo da sessao, o usuario deve ser restaurado sem novo login.</t>
  </si>
  <si>
    <t>Media</t>
  </si>
  <si>
    <t>Aprovado</t>
  </si>
  <si>
    <t>Iury</t>
  </si>
  <si>
    <t>PAINEL ADMIN</t>
  </si>
  <si>
    <t>Abrir dashboard administrativo</t>
  </si>
  <si>
    <t>Os cards e atalhos devem carregar sem excecoes e com valores coerentes.</t>
  </si>
  <si>
    <t>Alta</t>
  </si>
  <si>
    <t>Aprovado</t>
  </si>
  <si>
    <t>Iury</t>
  </si>
  <si>
    <t>PAINEL ADMIN</t>
  </si>
  <si>
    <t>Abrir caixa pelo painel admin</t>
  </si>
  <si>
    <t>O modal de abertura deve abrir, concluir com sucesso e manter o usuario no admin.</t>
  </si>
  <si>
    <t>Alta</t>
  </si>
  <si>
    <t>Aprovado</t>
  </si>
  <si>
    <t>Iury</t>
  </si>
  <si>
    <t>PAINEL ADMIN</t>
  </si>
  <si>
    <t>Usar Venda Rapida com caixa aberto</t>
  </si>
  <si>
    <t>A janela de venda rapida deve abrir e permitir venda sem sair do painel admin.</t>
  </si>
  <si>
    <t>Alta</t>
  </si>
  <si>
    <t>Aprovado</t>
  </si>
  <si>
    <t>Iury</t>
  </si>
  <si>
    <t>PAINEL ADMIN</t>
  </si>
  <si>
    <t>Cadastrar novo produto</t>
  </si>
  <si>
    <t>A tela deve abrir, salvar corretamente e retornar ao modulo de origem.</t>
  </si>
  <si>
    <t>Alta</t>
  </si>
  <si>
    <t>Aprovado</t>
  </si>
  <si>
    <t>Iury</t>
  </si>
  <si>
    <t>PAINEL ADMIN</t>
  </si>
  <si>
    <t>Editar produto</t>
  </si>
  <si>
    <t>O produto selecionado deve abrir em modo de edicao com dados carregados.</t>
  </si>
  <si>
    <t>Alta</t>
  </si>
  <si>
    <t>Aprovado</t>
  </si>
  <si>
    <t>Iury</t>
  </si>
  <si>
    <t>PAINEL ADMIN</t>
  </si>
  <si>
    <t>Ativar ou desativar produto</t>
  </si>
  <si>
    <t>O status do produto deve ser alterado sem inconsistencias.</t>
  </si>
  <si>
    <t>Media</t>
  </si>
  <si>
    <t>Aprovado</t>
  </si>
  <si>
    <t>Iury</t>
  </si>
  <si>
    <t>PAINEL ADMIN</t>
  </si>
  <si>
    <t>Abrir detalhes de produto</t>
  </si>
  <si>
    <t>O modal deve exibir as informacoes completas do item selecionado.</t>
  </si>
  <si>
    <t>Media</t>
  </si>
  <si>
    <t>Aprovado</t>
  </si>
  <si>
    <t>Iury</t>
  </si>
  <si>
    <t>ABERTURA DE CAIXA</t>
  </si>
  <si>
    <t>Abrir caixa com troco inicial manual</t>
  </si>
  <si>
    <t>O caixa deve ser aberto e a sessao deve guardar PDV, operador e valor de abertura.</t>
  </si>
  <si>
    <t>Alta</t>
  </si>
  <si>
    <t>Aprovado</t>
  </si>
  <si>
    <t>Iury</t>
  </si>
  <si>
    <t>ABERTURA DE CAIXA</t>
  </si>
  <si>
    <t>Abrir caixa com composicao do fundo</t>
  </si>
  <si>
    <t>O total calculado deve coincidir com o troco inicial informado.</t>
  </si>
  <si>
    <t>Alta</t>
  </si>
  <si>
    <t>Aprovado</t>
  </si>
  <si>
    <t>Iury</t>
  </si>
  <si>
    <t>ABERTURA DE CAIXA</t>
  </si>
  <si>
    <t>Validar ultimas aberturas</t>
  </si>
  <si>
    <t>A tabela deve mostrar data/hora formatadas corretamente e operador responsavel.</t>
  </si>
  <si>
    <t>Media</t>
  </si>
  <si>
    <t>Aprovado</t>
  </si>
  <si>
    <t>Iury</t>
  </si>
  <si>
    <t>FRENTE DE LOJA</t>
  </si>
  <si>
    <t>Abrir frente de loja com caixa aberto</t>
  </si>
  <si>
    <t>As opcoes de venda, consulta, movimentacao e fechamento devem ser habilitadas.</t>
  </si>
  <si>
    <t>Alta</t>
  </si>
  <si>
    <t>Aprovado</t>
  </si>
  <si>
    <t>Iury</t>
  </si>
  <si>
    <t>FRENTE DE LOJA</t>
  </si>
  <si>
    <t>Abrir Resumo do Caixa Atual</t>
  </si>
  <si>
    <t>O resumo deve exibir PDV, operador, abertura, fundo, vendas, faturamento e totais por forma de pagamento.</t>
  </si>
  <si>
    <t>Media</t>
  </si>
  <si>
    <t>Aprovado</t>
  </si>
  <si>
    <t>Iury</t>
  </si>
  <si>
    <t>Aumentar o tamanho da janela de resumo</t>
  </si>
  <si>
    <t>FRENTE DE LOJA</t>
  </si>
  <si>
    <t>Navegar para outros modulos com usuario multiacesso</t>
  </si>
  <si>
    <t>Usuarios com mais de uma permissao devem poder voltar para selecao de modulos mesmo com caixa aberto.</t>
  </si>
  <si>
    <t>Alta</t>
  </si>
  <si>
    <t>Aprovado</t>
  </si>
  <si>
    <t>Iury</t>
  </si>
  <si>
    <t>FRENTE DE LOJA</t>
  </si>
  <si>
    <t>Bloquear fechamento do programa com caixa aberto</t>
  </si>
  <si>
    <t>O app nao deve fechar enquanto o caixa estiver aberto.</t>
  </si>
  <si>
    <t>Alta</t>
  </si>
  <si>
    <t>Falhou</t>
  </si>
  <si>
    <t>Iury</t>
  </si>
  <si>
    <t>Funcionando apenas na frente de loja, ajustar para todo o programa</t>
  </si>
  <si>
    <t>VENDA</t>
  </si>
  <si>
    <t>Buscar produto por nome</t>
  </si>
  <si>
    <t>O campo de descricao deve localizar produtos em tempo real.</t>
  </si>
  <si>
    <t>Alta</t>
  </si>
  <si>
    <t>Aprovado</t>
  </si>
  <si>
    <t>Iury</t>
  </si>
  <si>
    <t>Ajustar para seleção múltipla em dropdown caso a busca encontre mais de um item.</t>
  </si>
  <si>
    <t>VENDA</t>
  </si>
  <si>
    <t>Buscar produto por codigo de barras</t>
  </si>
  <si>
    <t>O campo de descricao deve aceitar leitura por codigo e localizar o item.</t>
  </si>
  <si>
    <t>Alta</t>
  </si>
  <si>
    <t>Em andamento</t>
  </si>
  <si>
    <t>Iury</t>
  </si>
  <si>
    <t>VENDA</t>
  </si>
  <si>
    <t>Adicionar item ao cupom com Enter</t>
  </si>
  <si>
    <t>Pressionar Enter apos a busca deve inserir o produto no cupom.</t>
  </si>
  <si>
    <t>Alta</t>
  </si>
  <si>
    <t>Aprovado</t>
  </si>
  <si>
    <t>Iury</t>
  </si>
  <si>
    <t>VENDA</t>
  </si>
  <si>
    <t>Alterar cliente da venda</t>
  </si>
  <si>
    <t>O seletor de cliente deve atualizar o cliente atual da venda.</t>
  </si>
  <si>
    <t>Media</t>
  </si>
  <si>
    <t>Aprovado</t>
  </si>
  <si>
    <t>Iury</t>
  </si>
  <si>
    <t>VENDA</t>
  </si>
  <si>
    <t>Alterar quantidade pelo F3</t>
  </si>
  <si>
    <t>O item selecionado deve ter a quantidade alterada e o total recalculado.</t>
  </si>
  <si>
    <t>Alta</t>
  </si>
  <si>
    <t>Aprovado</t>
  </si>
  <si>
    <t>Iury</t>
  </si>
  <si>
    <t>VENDA</t>
  </si>
  <si>
    <t>Cancelar item pelo F5</t>
  </si>
  <si>
    <t>Somente o item selecionado deve ser removido do cupom.</t>
  </si>
  <si>
    <t>Alta</t>
  </si>
  <si>
    <t>Aprovado</t>
  </si>
  <si>
    <t>Iury</t>
  </si>
  <si>
    <t>VENDA</t>
  </si>
  <si>
    <t>Cancelar venda pelo F6</t>
  </si>
  <si>
    <t>Todos os itens do cupom devem ser removidos apos confirmacao.</t>
  </si>
  <si>
    <t>Alta</t>
  </si>
  <si>
    <t>Aprovado</t>
  </si>
  <si>
    <t>Iury</t>
  </si>
  <si>
    <t>VENDA</t>
  </si>
  <si>
    <t>Aplicar desconto por item pelo F10</t>
  </si>
  <si>
    <t>O desconto deve afetar apenas o item escolhido e refletir no cupom.</t>
  </si>
  <si>
    <t>Alta</t>
  </si>
  <si>
    <t>Aprovado</t>
  </si>
  <si>
    <t>Iury</t>
  </si>
  <si>
    <t>VENDA</t>
  </si>
  <si>
    <t>Aplicar desconto global pelo F10</t>
  </si>
  <si>
    <t>O desconto global deve reduzir o total final da venda sem alterar descontos individuais.</t>
  </si>
  <si>
    <t>Alta</t>
  </si>
  <si>
    <t>Aprovado</t>
  </si>
  <si>
    <t>Iury</t>
  </si>
  <si>
    <t>VENDA</t>
  </si>
  <si>
    <t>Remover desconto global ou de item</t>
  </si>
  <si>
    <t>O modal deve permitir remover descontos e recalcular os totais.</t>
  </si>
  <si>
    <t>Media</t>
  </si>
  <si>
    <t>Aprovado</t>
  </si>
  <si>
    <t>Iury</t>
  </si>
  <si>
    <t>VENDA</t>
  </si>
  <si>
    <t>Abrir modal de confirmacao da venda</t>
  </si>
  <si>
    <t>O modal deve listar cliente, itens, subtotal, descontos e total a pagar.</t>
  </si>
  <si>
    <t>Alta</t>
  </si>
  <si>
    <t>Aprovado</t>
  </si>
  <si>
    <t>Iury</t>
  </si>
  <si>
    <t>PAGAMENTO</t>
  </si>
  <si>
    <t>Abrir tela de pagamento apos confirmar venda</t>
  </si>
  <si>
    <t>A venda confirmada deve seguir para o fluxo de pagamento.</t>
  </si>
  <si>
    <t>Alta</t>
  </si>
  <si>
    <t>Aprovado</t>
  </si>
  <si>
    <t>Iury</t>
  </si>
  <si>
    <t>PAGAMENTO</t>
  </si>
  <si>
    <t>Lancar pagamento em dinheiro</t>
  </si>
  <si>
    <t>O valor deve ser registrado e abatido do restante a pagar.</t>
  </si>
  <si>
    <t>Alta</t>
  </si>
  <si>
    <t>Aprovado</t>
  </si>
  <si>
    <t>Iury</t>
  </si>
  <si>
    <t>PAGAMENTO</t>
  </si>
  <si>
    <t>Lancar pagamentos mistos</t>
  </si>
  <si>
    <t>A tela deve aceitar mais de uma forma de pagamento para a mesma venda.</t>
  </si>
  <si>
    <t>Alta</t>
  </si>
  <si>
    <t>Aprovado</t>
  </si>
  <si>
    <t>Iury</t>
  </si>
  <si>
    <t>PAGAMENTO</t>
  </si>
  <si>
    <t>Remover pagamento lancado por engano</t>
  </si>
  <si>
    <t>A lista de pagamentos deve permitir remocao segura de um lancamento.</t>
  </si>
  <si>
    <t>Alta</t>
  </si>
  <si>
    <t>Aprovado</t>
  </si>
  <si>
    <t>Iury</t>
  </si>
  <si>
    <t>PAGAMENTO</t>
  </si>
  <si>
    <t>Finalizar com troco</t>
  </si>
  <si>
    <t>Quando o valor pago for maior, o troco deve ser calculado corretamente.</t>
  </si>
  <si>
    <t>Alta</t>
  </si>
  <si>
    <t>Aprovado</t>
  </si>
  <si>
    <t>Iury</t>
  </si>
  <si>
    <t>POS-PAGAMENTO</t>
  </si>
  <si>
    <t>Exibir cupom nao fiscal</t>
  </si>
  <si>
    <t>O dialog deve mostrar numero da venda, cliente, data/hora, totais, pagamentos e troco.</t>
  </si>
  <si>
    <t>Media</t>
  </si>
  <si>
    <t>Aprovado</t>
  </si>
  <si>
    <t>Iury</t>
  </si>
  <si>
    <t>POS-PAGAMENTO</t>
  </si>
  <si>
    <t>Finalizar sem impressao</t>
  </si>
  <si>
    <t>A venda deve ser encerrada e o fluxo deve voltar pronto para nova operacao.</t>
  </si>
  <si>
    <t>Media</t>
  </si>
  <si>
    <t>Aprovado</t>
  </si>
  <si>
    <t>Iury</t>
  </si>
  <si>
    <t>PERSISTENCIA</t>
  </si>
  <si>
    <t>Gravar venda no banco</t>
  </si>
  <si>
    <t>A venda deve ser salva em vendas, itens_venda e pagamento_parcial.</t>
  </si>
  <si>
    <t>Alta</t>
  </si>
  <si>
    <t>Aprovado</t>
  </si>
  <si>
    <t>Iury</t>
  </si>
  <si>
    <t>PERSISTENCIA</t>
  </si>
  <si>
    <t>Baixar estoque do produto vendido</t>
  </si>
  <si>
    <t>A quantidade do produto deve ser reduzida corretamente apos a venda.</t>
  </si>
  <si>
    <t>Alta</t>
  </si>
  <si>
    <t>Aprovado</t>
  </si>
  <si>
    <t>Iury</t>
  </si>
  <si>
    <t>MOVIMENTACAO DE CAIXA</t>
  </si>
  <si>
    <t>Registrar sangria</t>
  </si>
  <si>
    <t>O valor deve ser retirado do saldo do caixa e aparecer no historico.</t>
  </si>
  <si>
    <t>Alta</t>
  </si>
  <si>
    <t>Aprovado</t>
  </si>
  <si>
    <t>Iury</t>
  </si>
  <si>
    <t>MOVIMENTACAO DE CAIXA</t>
  </si>
  <si>
    <t>Registrar suprimento</t>
  </si>
  <si>
    <t>O valor deve ser somado ao saldo do caixa e aparecer no historico.</t>
  </si>
  <si>
    <t>Alta</t>
  </si>
  <si>
    <t>Aprovado</t>
  </si>
  <si>
    <t>Iury</t>
  </si>
  <si>
    <t>MOVIMENTACAO DE CAIXA</t>
  </si>
  <si>
    <t>Registrar reforco de troco</t>
  </si>
  <si>
    <t>O valor deve ser somado ao saldo do caixa e aparecer no historico com nomenclatura correta.</t>
  </si>
  <si>
    <t>Alta</t>
  </si>
  <si>
    <t>Aprovado</t>
  </si>
  <si>
    <t>Iury</t>
  </si>
  <si>
    <t>MOVIMENTACAO DE CAIXA</t>
  </si>
  <si>
    <t>Exigir senha de administrador</t>
  </si>
  <si>
    <t>A movimentacao deve exigir senha admin valida antes de concluir.</t>
  </si>
  <si>
    <t>Alta</t>
  </si>
  <si>
    <t>Aprovado</t>
  </si>
  <si>
    <t>Iury</t>
  </si>
  <si>
    <t>FECHAMENTO DE CAIXA</t>
  </si>
  <si>
    <t>Popular tela com vendas do dia</t>
  </si>
  <si>
    <t>A tela deve refletir vendas, faturamento e totais por forma de pagamento do caixa atual.</t>
  </si>
  <si>
    <t>Alta</t>
  </si>
  <si>
    <t>Aprovado</t>
  </si>
  <si>
    <t>Iury</t>
  </si>
  <si>
    <t>campo forma de pagamento está muito curto, ajustar tamanho.</t>
  </si>
  <si>
    <t>FECHAMENTO DE CAIXA</t>
  </si>
  <si>
    <t>Fechar caixa sem diferenca</t>
  </si>
  <si>
    <t>O caixa deve ser fechado normalmente quando valor contado e esperado coincidirem.</t>
  </si>
  <si>
    <t>Alta</t>
  </si>
  <si>
    <t>Aprovado</t>
  </si>
  <si>
    <t>Iury</t>
  </si>
  <si>
    <t>FECHAMENTO DE CAIXA</t>
  </si>
  <si>
    <t>Fechar caixa com diferenca</t>
  </si>
  <si>
    <t>O sistema deve exigir senha de administrador para concluir o fechamento com diferenca.</t>
  </si>
  <si>
    <t>Alta</t>
  </si>
  <si>
    <t>Aprovado</t>
  </si>
  <si>
    <t>Iury</t>
  </si>
  <si>
    <t>ESTOQUE</t>
  </si>
  <si>
    <t>Carregar painel de estoque</t>
  </si>
  <si>
    <t>Produtos, lotes, movimentacoes e cards devem carregar com dados reais.</t>
  </si>
  <si>
    <t>Media</t>
  </si>
  <si>
    <t>Aprovado</t>
  </si>
  <si>
    <t>Iury</t>
  </si>
  <si>
    <t>ESTOQUE</t>
  </si>
  <si>
    <t>Buscar produto no estoque</t>
  </si>
  <si>
    <t>A busca deve localizar por produto, codigo de barras, marca ou lote.</t>
  </si>
  <si>
    <t>Media</t>
  </si>
  <si>
    <t>Aprovado</t>
  </si>
  <si>
    <t>Iury</t>
  </si>
  <si>
    <t>ESTOQUE</t>
  </si>
  <si>
    <t>Filtrar por categoria e fornecedor</t>
  </si>
  <si>
    <t>Os filtros devem restringir corretamente os registros exibidos.</t>
  </si>
  <si>
    <t>Media</t>
  </si>
  <si>
    <t>Aprovado</t>
  </si>
  <si>
    <t>Iury</t>
  </si>
  <si>
    <t>ESTOQUE</t>
  </si>
  <si>
    <t>Ajustar quantidade de estoque</t>
  </si>
  <si>
    <t>O ajuste deve atualizar o produto e sincronizar lotes quando existirem.</t>
  </si>
  <si>
    <t>Alta</t>
  </si>
  <si>
    <t>Aprovado</t>
  </si>
  <si>
    <t>Iury</t>
  </si>
  <si>
    <t>PROMOCOES</t>
  </si>
  <si>
    <t>Abrir a area de Promocoes pelo F5 do Centro de Operacoes</t>
  </si>
  <si>
    <t>A tela de Promocoes deve abrir com cards, tabelas e filtros carregados sem erro.</t>
  </si>
  <si>
    <t>Alta</t>
  </si>
  <si>
    <t>Aumentar o tamanho da coluna de vigencia</t>
  </si>
  <si>
    <t>PROMOCOES</t>
  </si>
  <si>
    <t>Usar busca e botao Atualizar no painel de promocoes</t>
  </si>
  <si>
    <t>Busca, filtro e recarga devem refletir as promocoes cadastradas sem quebrar a selecao atual.</t>
  </si>
  <si>
    <t>Alta</t>
  </si>
  <si>
    <t>PROMOCOES</t>
  </si>
  <si>
    <t>Cadastrar uma nova promocao percentual</t>
  </si>
  <si>
    <t>O modal deve salvar uma promocao valida e o painel deve listar o novo registro.</t>
  </si>
  <si>
    <t>Alta</t>
  </si>
  <si>
    <t>PROMOCOES</t>
  </si>
  <si>
    <t>Cadastrar promocao por valor e por preco fixo</t>
  </si>
  <si>
    <t>As validacoes de regra financeira devem aceitar apenas valores coerentes para cada tipo.</t>
  </si>
  <si>
    <t>Media</t>
  </si>
  <si>
    <t>PROMOCOES</t>
  </si>
  <si>
    <t>Vincular produto a promocao existente</t>
  </si>
  <si>
    <t>O modal Vincular Produtos deve calcular preco promocional automaticamente e exibir o item na tabela lateral.</t>
  </si>
  <si>
    <t>Alta</t>
  </si>
  <si>
    <t>Ajustar preço após vinculação.</t>
  </si>
  <si>
    <t>PROMOCOES</t>
  </si>
  <si>
    <t>Remover produto vinculado de uma promocao</t>
  </si>
  <si>
    <t>O item deve sair da lista de vinculados e voltar a aparecer como disponivel na busca.</t>
  </si>
  <si>
    <t>Media</t>
  </si>
  <si>
    <t>FINANCEIRO</t>
  </si>
  <si>
    <t>Carregar filtros de PDV, forma de pagamento e periodo</t>
  </si>
  <si>
    <t>Os seletores devem listar registros reais do banco e o periodo inicial deve vir consistente.</t>
  </si>
  <si>
    <t>Alta</t>
  </si>
  <si>
    <t>FINANCEIRO</t>
  </si>
  <si>
    <t>Abrir caixa sem sair do modulo financeiro</t>
  </si>
  <si>
    <t>O modal de abertura deve concluir a operacao e recarregar os cards/tabelas do financeiro no mesmo modulo.</t>
  </si>
  <si>
    <t>Alta</t>
  </si>
  <si>
    <t>Aumentar altura do modal de abertura</t>
  </si>
  <si>
    <t>FINANCEIRO</t>
  </si>
  <si>
    <t>Fechar caixa sem sair do modulo financeiro</t>
  </si>
  <si>
    <t>O modal de fechamento deve concluir a operacao e recarregar os dados sem redirecionar o usuario.</t>
  </si>
  <si>
    <t>Alta</t>
  </si>
  <si>
    <t>FINANCEIRO</t>
  </si>
  <si>
    <t>Registrar movimentacao de caixa pelo botao do financeiro</t>
  </si>
  <si>
    <t>O modal deve registrar sangria, suprimento ou reforco de troco e atualizar cards/tabelas apos o fechamento.</t>
  </si>
  <si>
    <t>Alta</t>
  </si>
  <si>
    <t>FINANCEIRO</t>
  </si>
  <si>
    <t>Consultar venda a partir da tabela de recebimentos</t>
  </si>
  <si>
    <t>O dialogo deve abrir com cabecalho, itens, pagamentos e reembolsos vinculados da venda selecionada.</t>
  </si>
  <si>
    <t>Alta</t>
  </si>
  <si>
    <t>FINANCEIRO</t>
  </si>
  <si>
    <t>Realizar reembolso parcial de uma venda</t>
  </si>
  <si>
    <t>O reembolso parcial deve gravar nas tabelas novas, devolver estoque e aparecer na tabela de reembolsos.</t>
  </si>
  <si>
    <t>Alta</t>
  </si>
  <si>
    <t>FINANCEIRO</t>
  </si>
  <si>
    <t>Realizar reembolso total de uma venda</t>
  </si>
  <si>
    <t>O reembolso total deve devolver todos os itens elegiveis e refletir corretamente no financeiro.</t>
  </si>
  <si>
    <t>Alta</t>
  </si>
  <si>
    <t>FINANCEIRO</t>
  </si>
  <si>
    <t>Conferir impacto do reembolso em cards e tabelas</t>
  </si>
  <si>
    <t>Entradas, saidas, reembolsos e listagens devem refletir o valor devolvido no periodo filtrado.</t>
  </si>
  <si>
    <t>Media</t>
  </si>
  <si>
    <t>Mudar status da venda para Reembolsada</t>
  </si>
  <si>
    <t>VENDA RAPIDA</t>
  </si>
  <si>
    <t>Abrir Venda Rapida no painel admin com caixa aberto</t>
  </si>
  <si>
    <t>A venda rapida deve abrir em dialogo proprio, mantendo o painel administrativo acessivel ao final.</t>
  </si>
  <si>
    <t>Alta</t>
  </si>
  <si>
    <t>VENDA RAPIDA</t>
  </si>
  <si>
    <t>Concluir venda rapida completa</t>
  </si>
  <si>
    <t>Busca, cupom, confirmacao, pagamento e pos-pagamento devem funcionar sem redirecionar para a frente de loja.</t>
  </si>
  <si>
    <t>Alta</t>
  </si>
  <si>
    <t>VENDA RAPIDA</t>
  </si>
  <si>
    <t>Pressionar Enter no campo de descricao para inserir produto no cupom</t>
  </si>
  <si>
    <t>O Enter deve adicionar o produto ao cupom e nao abrir indevidamente o seletor de cliente.</t>
  </si>
  <si>
    <t>Alta</t>
  </si>
  <si>
    <t>VENDAS E CAIXA</t>
  </si>
  <si>
    <t>Abrir Resumo do Caixa Atual pelo status do caixa</t>
  </si>
  <si>
    <t>O dialogo deve mostrar PDV, operador, abertura, vendas, faturamento e totais por forma de pagamento.</t>
  </si>
  <si>
    <t>Media</t>
  </si>
  <si>
    <t>ESTOQUE</t>
  </si>
  <si>
    <t>Abrir Novo Produto pelo modulo de estoque e voltar</t>
  </si>
  <si>
    <t>Ao fechar ou voltar do cadastro, o usuario deve retornar ao painel de estoque e nao ao painel admin.</t>
  </si>
  <si>
    <t>Media</t>
  </si>
  <si>
    <t>Apoio da Homologacao</t>
  </si>
  <si>
    <t>Status</t>
  </si>
  <si>
    <t>Descricao</t>
  </si>
  <si>
    <t>Prioridade</t>
  </si>
  <si>
    <t>Uso sugerido</t>
  </si>
  <si>
    <t>Pendente</t>
  </si>
  <si>
    <t>Cenario ainda nao executado.</t>
  </si>
  <si>
    <t>Alta</t>
  </si>
  <si>
    <t>Fluxos criticos para operacao e fechamento do caixa.</t>
  </si>
  <si>
    <t>Em andamento</t>
  </si>
  <si>
    <t>Teste em execucao ou aguardando complemento.</t>
  </si>
  <si>
    <t>Media</t>
  </si>
  <si>
    <t>Fluxos importantes, mas nao bloqueantes para o piloto.</t>
  </si>
  <si>
    <t>Aprovado</t>
  </si>
  <si>
    <t>Fluxo validado com sucesso.</t>
  </si>
  <si>
    <t>Baixa</t>
  </si>
  <si>
    <t>Ajustes complementares ou cenarios secundarios.</t>
  </si>
  <si>
    <t>Falhou</t>
  </si>
  <si>
    <t>Fluxo executado com erro ou resultado diferente do esperado.</t>
  </si>
  <si>
    <t>Bloqueado</t>
  </si>
  <si>
    <t>Nao foi possivel executar por dependencia ou problema externo.</t>
  </si>
</sst>
</file>

<file path=xl/styles.xml><?xml version="1.0" encoding="utf-8"?>
<styleSheet xmlns="http://schemas.openxmlformats.org/spreadsheetml/2006/main">
  <numFmts count="14">
    <numFmt numFmtId="5" formatCode="#,##0\ &quot;R$&quot;;\-#,##0\ &quot;R$&quot;"/>
    <numFmt numFmtId="6" formatCode="#,##0\ &quot;R$&quot;;[Red]\-#,##0\ &quot;R$&quot;"/>
    <numFmt numFmtId="7" formatCode="#,##0.00\ &quot;R$&quot;;\-#,##0.00\ &quot;R$&quot;"/>
    <numFmt numFmtId="8" formatCode="#,##0.00\ &quot;R$&quot;;[Red]\-#,##0.00\ &quot;R$&quot;"/>
    <numFmt numFmtId="42" formatCode="_-* #,##0\ &quot;R$&quot;_-;\-* #,##0\ &quot;R$&quot;_-;_-* &quot;-&quot;\ &quot;R$&quot;_-;_-@_-"/>
    <numFmt numFmtId="41" formatCode="_-* #,##0\ _R_$_-;\-* #,##0\ _R_$_-;_-* &quot;-&quot;\ _R_$_-;_-@_-"/>
    <numFmt numFmtId="44" formatCode="_-* #,##0.00\ &quot;R$&quot;_-;\-* #,##0.00\ &quot;R$&quot;_-;_-* &quot;-&quot;??\ &quot;R$&quot;_-;_-@_-"/>
    <numFmt numFmtId="43" formatCode="_-* #,##0.00\ _R_$_-;\-* #,##0.00\ _R_$_-;_-* &quot;-&quot;??\ _R_$_-;_-@_-"/>
    <numFmt numFmtId="164" formatCode="DD/MM/YYYY"/>
    <numFmt numFmtId="165" formatCode="_-_R_$* #,##0.00_ ;_-_R_$* \-#,##0.00\ ;_-_R_$* &quot;-&quot;??_ ;_-@_ "/>
    <numFmt numFmtId="166" formatCode="_-_R_$* #,##0_ ;_-_R_$* \-#,##0\ ;_-_R_$* &quot;-&quot;_ ;_-@_ "/>
    <numFmt numFmtId="167" formatCode="_-&quot;R$&quot;* #,##0.00_ ;_-&quot;R$&quot;* \-#,##0.00\ ;_-&quot;R$&quot;* &quot;-&quot;??_ ;_-@_ "/>
    <numFmt numFmtId="168" formatCode="_-&quot;R$&quot;* #,##0_ ;_-&quot;R$&quot;* \-#,##0\ ;_-&quot;R$&quot;* &quot;-&quot;_ ;_-@_ "/>
    <numFmt numFmtId="9" formatCode="0%"/>
  </numFmts>
  <fonts count="21">
    <font>
      <name val="Calibri"/>
      <family val="2"/>
      <color rgb="FF000000"/>
      <sz val="11"/>
      <extLst>
        <ext uri="smNativeData">
          <pm:charSpec xmlns:pm="smNativeData" id="1777598330" ulstyle="none" kern="1">
            <pm:latin face="Calibri" sz="220" lang="default"/>
            <pm:cs face="Times New Roman" sz="220" lang="default"/>
            <pm:ea face="SimSun" sz="220" lang="default"/>
          </pm:charSpec>
        </ext>
      </extLst>
    </font>
    <font>
      <name val="Arial"/>
      <family val="2"/>
      <color rgb="FF000000"/>
      <sz val="10"/>
      <extLst>
        <ext uri="smNativeData">
          <pm:charSpec xmlns:pm="smNativeData" id="1777598330" ulstyle="none" kern="1">
            <pm:latin face="Arial" sz="200" lang="default"/>
            <pm:cs face="Times New Roman" sz="200" lang="default"/>
            <pm:ea face="SimSun" sz="200" lang="default"/>
          </pm:charSpec>
        </ext>
      </extLst>
    </font>
    <font>
      <name val="Calibri"/>
      <family val="2"/>
      <b/>
      <color rgb="FFFFFFFF"/>
      <sz val="16"/>
      <extLst>
        <ext uri="smNativeData">
          <pm:charSpec xmlns:pm="smNativeData" id="1777598330" fgClr="FFFFFF" ulstyle="none" kern="1">
            <pm:latin face="Calibri" sz="320" lang="default" weight="bold"/>
            <pm:cs face="Times New Roman" sz="320" lang="default" weight="bold"/>
            <pm:ea face="SimSun" sz="320" lang="default" weight="bold"/>
          </pm:charSpec>
        </ext>
      </extLst>
    </font>
    <font>
      <name val="Calibri"/>
      <family val="2"/>
      <i/>
      <color rgb="FFA8B8D8"/>
      <sz val="9"/>
      <extLst>
        <ext uri="smNativeData">
          <pm:charSpec xmlns:pm="smNativeData" id="1777598330" fgClr="A8B8D8" ulstyle="none" kern="1">
            <pm:latin face="Calibri" sz="180" lang="default" i="1"/>
            <pm:cs face="Times New Roman" sz="180" lang="default" i="1"/>
            <pm:ea face="SimSun" sz="180" lang="default" i="1"/>
          </pm:charSpec>
        </ext>
      </extLst>
    </font>
    <font>
      <name val="Calibri"/>
      <family val="2"/>
      <b/>
      <color rgb="FF1B2A4A"/>
      <sz val="8"/>
      <extLst>
        <ext uri="smNativeData">
          <pm:charSpec xmlns:pm="smNativeData" id="1777598330" fgClr="1B2A4A" ulstyle="none" kern="1">
            <pm:latin face="Calibri" sz="160" lang="default" weight="bold"/>
            <pm:cs face="Times New Roman" sz="160" lang="default" weight="bold"/>
            <pm:ea face="SimSun" sz="160" lang="default" weight="bold"/>
          </pm:charSpec>
        </ext>
      </extLst>
    </font>
    <font>
      <name val="Calibri"/>
      <family val="2"/>
      <b/>
      <color rgb="FF2E7D32"/>
      <sz val="8"/>
      <extLst>
        <ext uri="smNativeData">
          <pm:charSpec xmlns:pm="smNativeData" id="1777598330" fgClr="2E7D32" ulstyle="none" kern="1">
            <pm:latin face="Calibri" sz="160" lang="default" weight="bold"/>
            <pm:cs face="Times New Roman" sz="160" lang="default" weight="bold"/>
            <pm:ea face="SimSun" sz="160" lang="default" weight="bold"/>
          </pm:charSpec>
        </ext>
      </extLst>
    </font>
    <font>
      <name val="Calibri"/>
      <family val="2"/>
      <b/>
      <color rgb="FFC62828"/>
      <sz val="8"/>
      <extLst>
        <ext uri="smNativeData">
          <pm:charSpec xmlns:pm="smNativeData" id="1777598330" fgClr="C62828" ulstyle="none" kern="1">
            <pm:latin face="Calibri" sz="160" lang="default" weight="bold"/>
            <pm:cs face="Times New Roman" sz="160" lang="default" weight="bold"/>
            <pm:ea face="SimSun" sz="160" lang="default" weight="bold"/>
          </pm:charSpec>
        </ext>
      </extLst>
    </font>
    <font>
      <name val="Calibri"/>
      <family val="2"/>
      <b/>
      <color rgb="FF6A1B9A"/>
      <sz val="8"/>
      <extLst>
        <ext uri="smNativeData">
          <pm:charSpec xmlns:pm="smNativeData" id="1777598330" fgClr="6A1B9A" ulstyle="none" kern="1">
            <pm:latin face="Calibri" sz="160" lang="default" weight="bold"/>
            <pm:cs face="Times New Roman" sz="160" lang="default" weight="bold"/>
            <pm:ea face="SimSun" sz="160" lang="default" weight="bold"/>
          </pm:charSpec>
        </ext>
      </extLst>
    </font>
    <font>
      <name val="Calibri"/>
      <family val="2"/>
      <b/>
      <color rgb="FFFFFFFF"/>
      <sz val="20"/>
      <extLst>
        <ext uri="smNativeData">
          <pm:charSpec xmlns:pm="smNativeData" id="1777598330" fgClr="FFFFFF" ulstyle="none" kern="1">
            <pm:latin face="Calibri" sz="400" lang="default" weight="bold"/>
            <pm:cs face="Times New Roman" sz="400" lang="default" weight="bold"/>
            <pm:ea face="SimSun" sz="400" lang="default" weight="bold"/>
          </pm:charSpec>
        </ext>
      </extLst>
    </font>
    <font>
      <name val="Calibri"/>
      <family val="2"/>
      <b/>
      <color rgb="FFFFFFFF"/>
      <sz val="10"/>
      <extLst>
        <ext uri="smNativeData">
          <pm:charSpec xmlns:pm="smNativeData" id="1777598330" fgClr="FFFFFF" ulstyle="none" kern="1">
            <pm:latin face="Calibri" sz="200" lang="default" weight="bold"/>
            <pm:cs face="Times New Roman" sz="200" lang="default" weight="bold"/>
            <pm:ea face="SimSun" sz="200" lang="default" weight="bold"/>
          </pm:charSpec>
        </ext>
      </extLst>
    </font>
    <font>
      <name val="Calibri"/>
      <family val="2"/>
      <b/>
      <color rgb="FF6B7A99"/>
      <sz val="9"/>
      <extLst>
        <ext uri="smNativeData">
          <pm:charSpec xmlns:pm="smNativeData" id="1777598330" fgClr="6B7A99" ulstyle="none" kern="1">
            <pm:latin face="Calibri" sz="180" lang="default" weight="bold"/>
            <pm:cs face="Times New Roman" sz="180" lang="default" weight="bold"/>
            <pm:ea face="SimSun" sz="180" lang="default" weight="bold"/>
          </pm:charSpec>
        </ext>
      </extLst>
    </font>
    <font>
      <name val="Calibri"/>
      <family val="2"/>
      <b/>
      <color rgb="FF1B2A4A"/>
      <sz val="9"/>
      <extLst>
        <ext uri="smNativeData">
          <pm:charSpec xmlns:pm="smNativeData" id="1777598330" fgClr="1B2A4A" ulstyle="none" kern="1">
            <pm:latin face="Calibri" sz="180" lang="default" weight="bold"/>
            <pm:cs face="Times New Roman" sz="180" lang="default" weight="bold"/>
            <pm:ea face="SimSun" sz="180" lang="default" weight="bold"/>
          </pm:charSpec>
        </ext>
      </extLst>
    </font>
    <font>
      <name val="Calibri"/>
      <family val="2"/>
      <color rgb="FF1B2A4A"/>
      <sz val="9"/>
      <extLst>
        <ext uri="smNativeData">
          <pm:charSpec xmlns:pm="smNativeData" id="1777598330" fgClr="1B2A4A" ulstyle="none" kern="1">
            <pm:latin face="Calibri" sz="180" lang="default"/>
            <pm:cs face="Times New Roman" sz="180" lang="default"/>
            <pm:ea face="SimSun" sz="180" lang="default"/>
          </pm:charSpec>
        </ext>
      </extLst>
    </font>
    <font>
      <name val="Calibri"/>
      <family val="2"/>
      <i/>
      <color rgb="FF5C6880"/>
      <sz val="8"/>
      <extLst>
        <ext uri="smNativeData">
          <pm:charSpec xmlns:pm="smNativeData" id="1777598330" fgClr="5C6880" ulstyle="none" kern="1">
            <pm:latin face="Calibri" sz="160" lang="default" i="1"/>
            <pm:cs face="Times New Roman" sz="160" lang="default" i="1"/>
            <pm:ea face="SimSun" sz="160" lang="default" i="1"/>
          </pm:charSpec>
        </ext>
      </extLst>
    </font>
    <font>
      <name val="Calibri"/>
      <family val="2"/>
      <b/>
      <color rgb="FFC62828"/>
      <sz val="9"/>
      <extLst>
        <ext uri="smNativeData">
          <pm:charSpec xmlns:pm="smNativeData" id="1777598330" fgClr="C62828" ulstyle="none" kern="1">
            <pm:latin face="Calibri" sz="180" lang="default" weight="bold"/>
            <pm:cs face="Times New Roman" sz="180" lang="default" weight="bold"/>
            <pm:ea face="SimSun" sz="180" lang="default" weight="bold"/>
          </pm:charSpec>
        </ext>
      </extLst>
    </font>
    <font>
      <name val="Calibri"/>
      <family val="2"/>
      <b/>
      <color rgb="FF2E7D32"/>
      <sz val="9"/>
      <extLst>
        <ext uri="smNativeData">
          <pm:charSpec xmlns:pm="smNativeData" id="1777598330" fgClr="2E7D32" ulstyle="none" kern="1">
            <pm:latin face="Calibri" sz="180" lang="default" weight="bold"/>
            <pm:cs face="Times New Roman" sz="180" lang="default" weight="bold"/>
            <pm:ea face="SimSun" sz="180" lang="default" weight="bold"/>
          </pm:charSpec>
        </ext>
      </extLst>
    </font>
    <font>
      <name val="Calibri"/>
      <family val="2"/>
      <color rgb="FF5C6880"/>
      <sz val="8"/>
      <extLst>
        <ext uri="smNativeData">
          <pm:charSpec xmlns:pm="smNativeData" id="1777598330" fgClr="5C6880" ulstyle="none" kern="1">
            <pm:latin face="Calibri" sz="160" lang="default"/>
            <pm:cs face="Times New Roman" sz="160" lang="default"/>
            <pm:ea face="SimSun" sz="160" lang="default"/>
          </pm:charSpec>
        </ext>
      </extLst>
    </font>
    <font>
      <name val="Calibri"/>
      <family val="2"/>
      <b/>
      <color rgb="FFE65100"/>
      <sz val="9"/>
      <extLst>
        <ext uri="smNativeData">
          <pm:charSpec xmlns:pm="smNativeData" id="1777598330" fgClr="E65100" ulstyle="none" kern="1">
            <pm:latin face="Calibri" sz="180" lang="default" weight="bold"/>
            <pm:cs face="Times New Roman" sz="180" lang="default" weight="bold"/>
            <pm:ea face="SimSun" sz="180" lang="default" weight="bold"/>
          </pm:charSpec>
        </ext>
      </extLst>
    </font>
    <font>
      <name val="Calibri"/>
      <family val="2"/>
      <b/>
      <color rgb="FF1976D2"/>
      <sz val="9"/>
      <extLst>
        <ext uri="smNativeData">
          <pm:charSpec xmlns:pm="smNativeData" id="1777598330" fgClr="1976D2" ulstyle="none" kern="1">
            <pm:latin face="Calibri" sz="180" lang="default" weight="bold"/>
            <pm:cs face="Times New Roman" sz="180" lang="default" weight="bold"/>
            <pm:ea face="SimSun" sz="180" lang="default" weight="bold"/>
          </pm:charSpec>
        </ext>
      </extLst>
    </font>
    <font>
      <name val="Calibri"/>
      <family val="2"/>
      <b/>
      <color rgb="FFFFFFFF"/>
      <sz val="13"/>
      <extLst>
        <ext uri="smNativeData">
          <pm:charSpec xmlns:pm="smNativeData" id="1777598330" fgClr="FFFFFF" ulstyle="none" kern="1">
            <pm:latin face="Calibri" sz="260" lang="default" weight="bold"/>
            <pm:cs face="Times New Roman" sz="260" lang="default" weight="bold"/>
            <pm:ea face="SimSun" sz="260" lang="default" weight="bold"/>
          </pm:charSpec>
        </ext>
      </extLst>
    </font>
    <font>
      <name val="Calibri"/>
      <family val="2"/>
      <b/>
      <color rgb="FFFFFFFF"/>
      <sz val="11"/>
      <extLst>
        <ext uri="smNativeData">
          <pm:charSpec xmlns:pm="smNativeData" id="1777598330" fgClr="FFFFFF" ulstyle="none" kern="1">
            <pm:latin face="Calibri" sz="220" lang="default" weight="bold"/>
            <pm:cs face="Times New Roman" sz="220" lang="default" weight="bold"/>
            <pm:ea face="SimSun" sz="220" lang="default" weight="bold"/>
          </pm:charSpec>
        </ext>
      </extLst>
    </font>
  </fonts>
  <fills count="25">
    <fill>
      <patternFill patternType="none"/>
    </fill>
    <fill>
      <patternFill patternType="gray125"/>
    </fill>
    <fill>
      <patternFill patternType="solid">
        <fgColor rgb="FF1B2A4A"/>
        <bgColor rgb="FFFFFFFF"/>
        <extLst>
          <ext uri="smNativeData">
            <pm:shade xmlns:pm="smNativeData" id="1777598330" type="1" fgLvl="100" fgClr="001B2A4A" bgLvl="0" bgClr="00243657"/>
          </ext>
        </extLst>
      </patternFill>
    </fill>
    <fill>
      <patternFill patternType="solid">
        <fgColor rgb="FF243657"/>
        <bgColor rgb="FFFFFFFF"/>
        <extLst>
          <ext uri="smNativeData">
            <pm:shade xmlns:pm="smNativeData" id="1777598330" type="1" fgLvl="100" fgClr="00243657" bgLvl="0" bgClr="00123A63"/>
          </ext>
        </extLst>
      </patternFill>
    </fill>
    <fill>
      <patternFill patternType="solid">
        <fgColor rgb="FFEEF1F8"/>
        <bgColor rgb="FFFFFFFF"/>
        <extLst>
          <ext uri="smNativeData">
            <pm:shade xmlns:pm="smNativeData" id="1777598330" type="1" fgLvl="100" fgClr="00EEF1F8" bgLvl="0" bgClr="00F5F6FA"/>
          </ext>
        </extLst>
      </patternFill>
    </fill>
    <fill>
      <patternFill patternType="solid">
        <fgColor rgb="FFFFFFFF"/>
        <bgColor rgb="FFFFFFFF"/>
        <extLst>
          <ext uri="smNativeData">
            <pm:shade xmlns:pm="smNativeData" id="1777598330" type="1" fgLvl="100" fgClr="00FFFFFF" bgLvl="0" bgClr="00F5F6FA"/>
          </ext>
        </extLst>
      </patternFill>
    </fill>
    <fill>
      <patternFill patternType="solid">
        <fgColor rgb="FFC8E6C9"/>
        <bgColor rgb="FFFFFFFF"/>
        <extLst>
          <ext uri="smNativeData">
            <pm:shade xmlns:pm="smNativeData" id="1777598330" type="1" fgLvl="100" fgClr="00C8E6C9" bgLvl="0" bgClr="00D8DCE6"/>
          </ext>
        </extLst>
      </patternFill>
    </fill>
    <fill>
      <patternFill patternType="solid">
        <fgColor rgb="FFFFCDD2"/>
        <bgColor rgb="FFFFFFFF"/>
        <extLst>
          <ext uri="smNativeData">
            <pm:shade xmlns:pm="smNativeData" id="1777598330" type="1" fgLvl="100" fgClr="00FFCDD2" bgLvl="0" bgClr="00E1BEE7"/>
          </ext>
        </extLst>
      </patternFill>
    </fill>
    <fill>
      <patternFill patternType="solid">
        <fgColor rgb="FFE1BEE7"/>
        <bgColor rgb="FFFFFFFF"/>
        <extLst>
          <ext uri="smNativeData">
            <pm:shade xmlns:pm="smNativeData" id="1777598330" type="1" fgLvl="100" fgClr="00E1BEE7" bgLvl="0" bgClr="00FFCDD2"/>
          </ext>
        </extLst>
      </patternFill>
    </fill>
    <fill>
      <patternFill patternType="solid">
        <fgColor rgb="FF2E7D32"/>
        <bgColor rgb="FFFFFFFF"/>
        <extLst>
          <ext uri="smNativeData">
            <pm:shade xmlns:pm="smNativeData" id="1777598330" type="1" fgLvl="100" fgClr="002E7D32" bgLvl="0" bgClr="000F7B6C"/>
          </ext>
        </extLst>
      </patternFill>
    </fill>
    <fill>
      <patternFill patternType="solid">
        <fgColor rgb="FFC62828"/>
        <bgColor rgb="FFFFFFFF"/>
        <extLst>
          <ext uri="smNativeData">
            <pm:shade xmlns:pm="smNativeData" id="1777598330" type="1" fgLvl="100" fgClr="00C62828" bgLvl="0" bgClr="00993366"/>
          </ext>
        </extLst>
      </patternFill>
    </fill>
    <fill>
      <patternFill patternType="solid">
        <fgColor rgb="FF6A1B9A"/>
        <bgColor rgb="FFFFFFFF"/>
        <extLst>
          <ext uri="smNativeData">
            <pm:shade xmlns:pm="smNativeData" id="1777598330" type="1" fgLvl="100" fgClr="006A1B9A" bgLvl="0" bgClr="00800080"/>
          </ext>
        </extLst>
      </patternFill>
    </fill>
    <fill>
      <patternFill patternType="solid">
        <fgColor rgb="FF0F7B6C"/>
        <bgColor rgb="FFFFFFFF"/>
        <extLst>
          <ext uri="smNativeData">
            <pm:shade xmlns:pm="smNativeData" id="1777598330" type="1" fgLvl="100" fgClr="000F7B6C" bgLvl="0" bgClr="000A5C52"/>
          </ext>
        </extLst>
      </patternFill>
    </fill>
    <fill>
      <patternFill patternType="solid">
        <fgColor rgb="FFFFFFFF"/>
        <bgColor rgb="FFFFFFFF"/>
        <extLst>
          <ext uri="smNativeData">
            <pm:shade xmlns:pm="smNativeData" id="1777598330" type="1" fgLvl="100" fgClr="00FFFFFF" bgLvl="0" bgClr="00F5F6FA"/>
          </ext>
        </extLst>
      </patternFill>
    </fill>
    <fill>
      <patternFill patternType="solid">
        <fgColor rgb="FFFFFFFF"/>
        <bgColor rgb="FFFFFFFF"/>
        <extLst>
          <ext uri="smNativeData">
            <pm:shade xmlns:pm="smNativeData" id="1777598330" type="1" fgLvl="100" fgClr="00FFFFFF" bgLvl="0" bgClr="00F5F6FA"/>
          </ext>
        </extLst>
      </patternFill>
    </fill>
    <fill>
      <patternFill patternType="solid">
        <fgColor rgb="FFFFEBEE"/>
        <bgColor rgb="FFFFFFFF"/>
        <extLst>
          <ext uri="smNativeData">
            <pm:shade xmlns:pm="smNativeData" id="1777598330" type="1" fgLvl="100" fgClr="00FFEBEE" bgLvl="0" bgClr="00F5F6FA"/>
          </ext>
        </extLst>
      </patternFill>
    </fill>
    <fill>
      <patternFill patternType="solid">
        <fgColor rgb="FFE8F5E9"/>
        <bgColor rgb="FFFFFFFF"/>
        <extLst>
          <ext uri="smNativeData">
            <pm:shade xmlns:pm="smNativeData" id="1777598330" type="1" fgLvl="100" fgClr="00E8F5E9" bgLvl="0" bgClr="00EEF1F8"/>
          </ext>
        </extLst>
      </patternFill>
    </fill>
    <fill>
      <patternFill patternType="solid">
        <fgColor rgb="FFF5F6FA"/>
        <bgColor rgb="FFFFFFFF"/>
        <extLst>
          <ext uri="smNativeData">
            <pm:shade xmlns:pm="smNativeData" id="1777598330" type="1" fgLvl="100" fgClr="00F5F6FA" bgLvl="0" bgClr="00EEF1F8"/>
          </ext>
        </extLst>
      </patternFill>
    </fill>
    <fill>
      <patternFill patternType="solid">
        <fgColor rgb="FFF5F6FA"/>
        <bgColor rgb="FFFFFFFF"/>
        <extLst>
          <ext uri="smNativeData">
            <pm:shade xmlns:pm="smNativeData" id="1777598330" type="1" fgLvl="100" fgClr="00F5F6FA" bgLvl="0" bgClr="00EEF1F8"/>
          </ext>
        </extLst>
      </patternFill>
    </fill>
    <fill>
      <patternFill patternType="solid">
        <fgColor rgb="FFFFF8E1"/>
        <bgColor rgb="FFFFFFFF"/>
        <extLst>
          <ext uri="smNativeData">
            <pm:shade xmlns:pm="smNativeData" id="1777598330" type="1" fgLvl="100" fgClr="00FFF8E1" bgLvl="0" bgClr="00F5F6FA"/>
          </ext>
        </extLst>
      </patternFill>
    </fill>
    <fill>
      <patternFill patternType="solid">
        <fgColor rgb="FFE3F2FD"/>
        <bgColor rgb="FFFFFFFF"/>
        <extLst>
          <ext uri="smNativeData">
            <pm:shade xmlns:pm="smNativeData" id="1777598330" type="1" fgLvl="100" fgClr="00E3F2FD" bgLvl="0" bgClr="00EEF1F8"/>
          </ext>
        </extLst>
      </patternFill>
    </fill>
    <fill>
      <patternFill patternType="solid">
        <fgColor rgb="FF123A63"/>
        <bgColor rgb="FFFFFFFF"/>
        <extLst>
          <ext uri="smNativeData">
            <pm:shade xmlns:pm="smNativeData" id="1777598330" type="1" fgLvl="100" fgClr="00123A63" bgLvl="0" bgClr="00243657"/>
          </ext>
        </extLst>
      </patternFill>
    </fill>
    <fill>
      <patternFill patternType="solid">
        <fgColor rgb="FF2F79C8"/>
        <bgColor rgb="FFFFFFFF"/>
        <extLst>
          <ext uri="smNativeData">
            <pm:shade xmlns:pm="smNativeData" id="1777598330" type="1" fgLvl="100" fgClr="002F79C8" bgLvl="0" bgClr="001976D2"/>
          </ext>
        </extLst>
      </patternFill>
    </fill>
    <fill>
      <patternFill patternType="solid">
        <fgColor rgb="FFFFFFFF"/>
        <bgColor rgb="FFFFFFFF"/>
        <extLst>
          <ext uri="smNativeData">
            <pm:shade xmlns:pm="smNativeData" id="1777598330" type="1" fgLvl="100" fgClr="00FFFFFF" bgLvl="100" bgClr="00000000"/>
          </ext>
        </extLst>
      </patternFill>
    </fill>
    <fill>
      <patternFill patternType="solid">
        <fgColor rgb="FFF5F6FA"/>
        <bgColor rgb="FFFFFFFF"/>
        <extLst>
          <ext uri="smNativeData">
            <pm:shade xmlns:pm="smNativeData" id="1777598330" type="1" fgLvl="100" fgClr="00F5F6FA" bgLvl="0" bgClr="00EEF1F8"/>
          </ext>
        </extLst>
      </patternFill>
    </fill>
  </fills>
  <borders count="24"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7598330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7598330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7598330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7598330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7598330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7598330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7598330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7598330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7598330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7598330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7598330"/>
        </ext>
      </extLst>
    </border>
    <border>
      <left style="none">
        <color rgb="FF000000"/>
      </left>
      <right style="thin">
        <color rgb="FF0A5C52"/>
      </right>
      <top style="none">
        <color rgb="FF000000"/>
      </top>
      <bottom style="medium">
        <color rgb="FFFFFFFF"/>
      </bottom>
      <extLst>
        <ext uri="smNativeData">
          <pm:border xmlns:pm="smNativeData" id="1777598330">
            <pm:line position="bottom" type="1" style="0" width="30" dist="20" width2="20" rgb="FFFFFF"/>
            <pm:line position="right" type="1" style="0" width="20" dist="20" width2="20" rgb="0A5C52"/>
          </pm:border>
        </ext>
      </extLst>
    </border>
    <border>
      <left style="thin">
        <color rgb="FFD8DCE6"/>
      </left>
      <right style="thin">
        <color rgb="FFD8DCE6"/>
      </right>
      <top style="thin">
        <color rgb="FFD8DCE6"/>
      </top>
      <bottom style="thin">
        <color rgb="FFD8DCE6"/>
      </bottom>
      <extLst>
        <ext uri="smNativeData">
          <pm:border xmlns:pm="smNativeData" id="1777598330">
            <pm:line position="top" type="1" style="0" width="20" dist="20" width2="20" rgb="D8DCE6"/>
            <pm:line position="bottom" type="1" style="0" width="20" dist="20" width2="20" rgb="D8DCE6"/>
            <pm:line position="left" type="1" style="0" width="20" dist="20" width2="20" rgb="D8DCE6"/>
            <pm:line position="right" type="1" style="0" width="20" dist="20" width2="20" rgb="D8DCE6"/>
          </pm:border>
        </ext>
      </extLst>
    </border>
    <border>
      <left style="medium">
        <color rgb="FF0F7B6C"/>
      </left>
      <right style="thin">
        <color rgb="FFD8DCE6"/>
      </right>
      <top style="thin">
        <color rgb="FFD8DCE6"/>
      </top>
      <bottom style="thin">
        <color rgb="FFD8DCE6"/>
      </bottom>
      <extLst>
        <ext uri="smNativeData">
          <pm:border xmlns:pm="smNativeData" id="1777598330">
            <pm:line position="top" type="1" style="0" width="20" dist="20" width2="20" rgb="D8DCE6"/>
            <pm:line position="bottom" type="1" style="0" width="20" dist="20" width2="20" rgb="D8DCE6"/>
            <pm:line position="left" type="1" style="0" width="30" dist="20" width2="20" rgb="0F7B6C"/>
            <pm:line position="right" type="1" style="0" width="20" dist="20" width2="20" rgb="D8DCE6"/>
          </pm:border>
        </ext>
      </extLst>
    </border>
    <border>
      <left style="thin">
        <color rgb="FFD8DCE6"/>
      </left>
      <right style="thin">
        <color rgb="FFD8DCE6"/>
      </right>
      <top style="thin">
        <color rgb="FFD8DCE6"/>
      </top>
      <bottom style="thin">
        <color rgb="FFD8DCE6"/>
      </bottom>
      <extLst>
        <ext uri="smNativeData">
          <pm:border xmlns:pm="smNativeData" id="1777598330">
            <pm:line position="top" type="1" style="0" width="20" dist="20" width2="20" rgb="D8DCE6"/>
            <pm:line position="bottom" type="1" style="0" width="20" dist="20" width2="20" rgb="D8DCE6"/>
            <pm:line position="left" type="1" style="0" width="20" dist="20" width2="20" rgb="D8DCE6"/>
            <pm:line position="right" type="1" style="0" width="20" dist="20" width2="20" rgb="D8DCE6"/>
          </pm:border>
        </ext>
      </extLst>
    </border>
    <border>
      <left style="thin">
        <color rgb="FFD8DCE6"/>
      </left>
      <right style="thin">
        <color rgb="FFD8DCE6"/>
      </right>
      <top style="thin">
        <color rgb="FFD8DCE6"/>
      </top>
      <bottom style="thin">
        <color rgb="FFD8DCE6"/>
      </bottom>
      <extLst>
        <ext uri="smNativeData">
          <pm:border xmlns:pm="smNativeData" id="1777598330">
            <pm:line position="top" type="1" style="0" width="20" dist="20" width2="20" rgb="D8DCE6"/>
            <pm:line position="bottom" type="1" style="0" width="20" dist="20" width2="20" rgb="D8DCE6"/>
            <pm:line position="left" type="1" style="0" width="20" dist="20" width2="20" rgb="D8DCE6"/>
            <pm:line position="right" type="1" style="0" width="20" dist="20" width2="20" rgb="D8DCE6"/>
          </pm:border>
        </ext>
      </extLst>
    </border>
    <border>
      <left style="thin">
        <color rgb="FFD8DCE6"/>
      </left>
      <right style="thin">
        <color rgb="FFD8DCE6"/>
      </right>
      <top style="thin">
        <color rgb="FFD8DCE6"/>
      </top>
      <bottom style="thin">
        <color rgb="FFD8DCE6"/>
      </bottom>
      <extLst>
        <ext uri="smNativeData">
          <pm:border xmlns:pm="smNativeData" id="1777598330">
            <pm:line position="top" type="1" style="0" width="20" dist="20" width2="20" rgb="D8DCE6"/>
            <pm:line position="bottom" type="1" style="0" width="20" dist="20" width2="20" rgb="D8DCE6"/>
            <pm:line position="left" type="1" style="0" width="20" dist="20" width2="20" rgb="D8DCE6"/>
            <pm:line position="right" type="1" style="0" width="20" dist="20" width2="20" rgb="D8DCE6"/>
          </pm:border>
        </ext>
      </extLst>
    </border>
    <border>
      <left style="medium">
        <color rgb="FF0F7B6C"/>
      </left>
      <right style="thin">
        <color rgb="FFD8DCE6"/>
      </right>
      <top style="thin">
        <color rgb="FFD8DCE6"/>
      </top>
      <bottom style="thin">
        <color rgb="FFD8DCE6"/>
      </bottom>
      <extLst>
        <ext uri="smNativeData">
          <pm:border xmlns:pm="smNativeData" id="1777598330">
            <pm:line position="top" type="1" style="0" width="20" dist="20" width2="20" rgb="D8DCE6"/>
            <pm:line position="bottom" type="1" style="0" width="20" dist="20" width2="20" rgb="D8DCE6"/>
            <pm:line position="left" type="1" style="0" width="30" dist="20" width2="20" rgb="0F7B6C"/>
            <pm:line position="right" type="1" style="0" width="20" dist="20" width2="20" rgb="D8DCE6"/>
          </pm:border>
        </ext>
      </extLst>
    </border>
    <border>
      <left style="thin">
        <color rgb="FFD8DCE6"/>
      </left>
      <right style="thin">
        <color rgb="FFD8DCE6"/>
      </right>
      <top style="thin">
        <color rgb="FFD8DCE6"/>
      </top>
      <bottom style="thin">
        <color rgb="FFD8DCE6"/>
      </bottom>
      <extLst>
        <ext uri="smNativeData">
          <pm:border xmlns:pm="smNativeData" id="1777598330">
            <pm:line position="top" type="1" style="0" width="20" dist="20" width2="20" rgb="D8DCE6"/>
            <pm:line position="bottom" type="1" style="0" width="20" dist="20" width2="20" rgb="D8DCE6"/>
            <pm:line position="left" type="1" style="0" width="20" dist="20" width2="20" rgb="D8DCE6"/>
            <pm:line position="right" type="1" style="0" width="20" dist="20" width2="20" rgb="D8DCE6"/>
          </pm:border>
        </ext>
      </extLst>
    </border>
    <border>
      <left style="thin">
        <color rgb="FFD8DCE6"/>
      </left>
      <right style="thin">
        <color rgb="FFD8DCE6"/>
      </right>
      <top style="thin">
        <color rgb="FFD8DCE6"/>
      </top>
      <bottom style="thin">
        <color rgb="FFD8DCE6"/>
      </bottom>
      <extLst>
        <ext uri="smNativeData">
          <pm:border xmlns:pm="smNativeData" id="1777598330">
            <pm:line position="top" type="1" style="0" width="20" dist="20" width2="20" rgb="D8DCE6"/>
            <pm:line position="bottom" type="1" style="0" width="20" dist="20" width2="20" rgb="D8DCE6"/>
            <pm:line position="left" type="1" style="0" width="20" dist="20" width2="20" rgb="D8DCE6"/>
            <pm:line position="right" type="1" style="0" width="20" dist="20" width2="20" rgb="D8DCE6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7598330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7598330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7598330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7598330"/>
        </ext>
      </extLst>
    </border>
  </borders>
  <cellStyleXfs count="6">
    <xf numFmtId="0" fontId="0" fillId="0" borderId="0" applyNumberFormat="1" applyFont="1" applyFill="1" applyBorder="1" applyAlignment="1" applyProtection="1"/>
    <xf numFmtId="165" fontId="1" fillId="0" borderId="0" applyNumberFormat="1" applyFont="1" applyFill="1" applyBorder="1" applyAlignment="1" applyProtection="1"/>
    <xf numFmtId="166" fontId="1" fillId="0" borderId="0" applyNumberFormat="1" applyFont="1" applyFill="1" applyBorder="1" applyAlignment="1" applyProtection="1"/>
    <xf numFmtId="167" fontId="1" fillId="0" borderId="0" applyNumberFormat="1" applyFont="1" applyFill="1" applyBorder="1" applyAlignment="1" applyProtection="1"/>
    <xf numFmtId="168" fontId="1" fillId="0" borderId="0" applyNumberFormat="1" applyFont="1" applyFill="1" applyBorder="1" applyAlignment="1" applyProtection="1"/>
    <xf numFmtId="9" fontId="1" fillId="0" borderId="0" applyNumberFormat="1" applyFont="1" applyFill="1" applyBorder="1" applyAlignment="1" applyProtection="1"/>
  </cellStyleXfs>
  <cellXfs count="40">
    <xf numFmtId="0" fontId="0" fillId="0" borderId="0" xfId="0"/>
    <xf numFmtId="165" fontId="1" fillId="0" borderId="0" xfId="1"/>
    <xf numFmtId="166" fontId="1" fillId="0" borderId="0" xfId="2"/>
    <xf numFmtId="167" fontId="1" fillId="0" borderId="0" xfId="3"/>
    <xf numFmtId="168" fontId="1" fillId="0" borderId="0" xfId="4"/>
    <xf numFmtId="9" fontId="1" fillId="0" borderId="0" xfId="5"/>
    <xf numFmtId="0" fontId="2" fillId="2" borderId="1" xfId="0" applyFont="1" applyFill="1" applyAlignment="1">
      <alignment horizontal="left" vertical="center"/>
    </xf>
    <xf numFmtId="0" fontId="3" fillId="3" borderId="2" xfId="0" applyFont="1" applyFill="1" applyAlignment="1">
      <alignment horizontal="left" vertical="center"/>
    </xf>
    <xf numFmtId="0" fontId="0" fillId="4" borderId="3" xfId="0" applyFill="1"/>
    <xf numFmtId="0" fontId="4" fillId="5" borderId="4" xfId="0" applyFont="1" applyFill="1" applyAlignment="1">
      <alignment horizontal="center" vertical="center"/>
    </xf>
    <xf numFmtId="0" fontId="5" fillId="6" borderId="5" xfId="0" applyFont="1" applyFill="1" applyAlignment="1">
      <alignment horizontal="center" vertical="center"/>
    </xf>
    <xf numFmtId="0" fontId="6" fillId="7" borderId="6" xfId="0" applyFont="1" applyFill="1" applyAlignment="1">
      <alignment horizontal="center" vertical="center"/>
    </xf>
    <xf numFmtId="0" fontId="7" fillId="8" borderId="7" xfId="0" applyFont="1" applyFill="1" applyAlignment="1">
      <alignment horizontal="center" vertical="center"/>
    </xf>
    <xf numFmtId="0" fontId="8" fillId="2" borderId="1" xfId="0" applyFont="1" applyFill="1" applyAlignment="1">
      <alignment horizontal="center" vertical="center"/>
    </xf>
    <xf numFmtId="0" fontId="8" fillId="9" borderId="8" xfId="0" applyFont="1" applyFill="1" applyAlignment="1">
      <alignment horizontal="center" vertical="center"/>
    </xf>
    <xf numFmtId="0" fontId="8" fillId="10" borderId="9" xfId="0" applyFont="1" applyFill="1" applyAlignment="1">
      <alignment horizontal="center" vertical="center"/>
    </xf>
    <xf numFmtId="0" fontId="8" fillId="11" borderId="10" xfId="0" applyFont="1" applyFill="1" applyAlignment="1">
      <alignment horizontal="center" vertical="center"/>
    </xf>
    <xf numFmtId="0" fontId="9" fillId="12" borderId="11" xfId="0" applyFont="1" applyFill="1" applyBorder="1" applyAlignment="1">
      <alignment horizontal="center" vertical="center" wrapText="1"/>
    </xf>
    <xf numFmtId="0" fontId="10" fillId="13" borderId="12" xfId="0" applyFont="1" applyFill="1" applyBorder="1" applyAlignment="1">
      <alignment horizontal="center" vertical="center"/>
    </xf>
    <xf numFmtId="0" fontId="11" fillId="14" borderId="13" xfId="0" applyFont="1" applyFill="1" applyBorder="1" applyAlignment="1">
      <alignment horizontal="center" vertical="center" wrapText="1"/>
    </xf>
    <xf numFmtId="0" fontId="12" fillId="13" borderId="12" xfId="0" applyFont="1" applyFill="1" applyBorder="1" applyAlignment="1">
      <alignment horizontal="left" vertical="center" wrapText="1"/>
    </xf>
    <xf numFmtId="0" fontId="13" fillId="13" borderId="12" xfId="0" applyFont="1" applyFill="1" applyBorder="1" applyAlignment="1">
      <alignment horizontal="left" vertical="center" wrapText="1"/>
    </xf>
    <xf numFmtId="0" fontId="14" fillId="15" borderId="14" xfId="0" applyFont="1" applyFill="1" applyBorder="1" applyAlignment="1">
      <alignment horizontal="center" vertical="center"/>
    </xf>
    <xf numFmtId="0" fontId="15" fillId="16" borderId="15" xfId="0" applyFont="1" applyFill="1" applyBorder="1" applyAlignment="1">
      <alignment horizontal="center" vertical="center"/>
    </xf>
    <xf numFmtId="0" fontId="12" fillId="13" borderId="12" xfId="0" applyFont="1" applyFill="1" applyBorder="1" applyAlignment="1">
      <alignment horizontal="center" vertical="center"/>
    </xf>
    <xf numFmtId="164" fontId="12" fillId="13" borderId="12" xfId="0" applyNumberFormat="1" applyFont="1" applyFill="1" applyBorder="1" applyAlignment="1">
      <alignment horizontal="center" vertical="center"/>
    </xf>
    <xf numFmtId="0" fontId="16" fillId="13" borderId="12" xfId="0" applyFont="1" applyFill="1" applyBorder="1" applyAlignment="1">
      <alignment horizontal="left" vertical="center" wrapText="1"/>
    </xf>
    <xf numFmtId="0" fontId="10" fillId="17" borderId="16" xfId="0" applyFont="1" applyFill="1" applyBorder="1" applyAlignment="1">
      <alignment horizontal="center" vertical="center"/>
    </xf>
    <xf numFmtId="0" fontId="11" fillId="18" borderId="17" xfId="0" applyFont="1" applyFill="1" applyBorder="1" applyAlignment="1">
      <alignment horizontal="center" vertical="center" wrapText="1"/>
    </xf>
    <xf numFmtId="0" fontId="12" fillId="17" borderId="16" xfId="0" applyFont="1" applyFill="1" applyBorder="1" applyAlignment="1">
      <alignment horizontal="left" vertical="center" wrapText="1"/>
    </xf>
    <xf numFmtId="0" fontId="13" fillId="17" borderId="16" xfId="0" applyFont="1" applyFill="1" applyBorder="1" applyAlignment="1">
      <alignment horizontal="left" vertical="center" wrapText="1"/>
    </xf>
    <xf numFmtId="0" fontId="12" fillId="17" borderId="16" xfId="0" applyFont="1" applyFill="1" applyBorder="1" applyAlignment="1">
      <alignment horizontal="center" vertical="center"/>
    </xf>
    <xf numFmtId="164" fontId="12" fillId="17" borderId="16" xfId="0" applyNumberFormat="1" applyFont="1" applyFill="1" applyBorder="1" applyAlignment="1">
      <alignment horizontal="center" vertical="center"/>
    </xf>
    <xf numFmtId="0" fontId="16" fillId="17" borderId="16" xfId="0" applyFont="1" applyFill="1" applyBorder="1" applyAlignment="1">
      <alignment horizontal="left" vertical="center" wrapText="1"/>
    </xf>
    <xf numFmtId="0" fontId="17" fillId="19" borderId="18" xfId="0" applyFont="1" applyFill="1" applyBorder="1" applyAlignment="1">
      <alignment horizontal="center" vertical="center"/>
    </xf>
    <xf numFmtId="0" fontId="18" fillId="20" borderId="19" xfId="0" applyFont="1" applyFill="1" applyBorder="1" applyAlignment="1">
      <alignment horizontal="center" vertical="center"/>
    </xf>
    <xf numFmtId="0" fontId="19" fillId="21" borderId="20" xfId="0" applyFont="1" applyFill="1" applyAlignment="1">
      <alignment horizontal="left" vertical="center"/>
    </xf>
    <xf numFmtId="0" fontId="19" fillId="21" borderId="20" xfId="0" applyFont="1" applyFill="1" applyAlignment="1">
      <alignment horizontal="center" vertical="center"/>
    </xf>
    <xf numFmtId="0" fontId="20" fillId="22" borderId="21" xfId="0" applyFont="1" applyFill="1" applyAlignment="1">
      <alignment wrapText="1"/>
    </xf>
    <xf numFmtId="0" fontId="0" fillId="0" borderId="0" xfId="0" applyAlignment="1">
      <alignment wrapText="1"/>
    </xf>
  </cellXfs>
  <cellStyles count="6">
    <cellStyle name="Normal" xfId="0" builtinId="0" customBuiltin="1"/>
    <cellStyle name="Comma" xfId="1" builtinId="3" customBuiltin="1"/>
    <cellStyle name="Comma [0]" xfId="2" builtinId="6" customBuiltin="1"/>
    <cellStyle name="Currency" xfId="3" builtinId="4" customBuiltin="1"/>
    <cellStyle name="Currency [0]" xfId="4" builtinId="7" customBuiltin="1"/>
    <cellStyle name="Percent" xfId="5" builtinId="5" customBuiltin="1"/>
  </cellStyles>
  <tableStyles count="0"/>
  <extLst>
    <ext uri="smNativeData">
      <pm:charStyles xmlns:pm="smNativeData" id="1777598330" count="1">
        <pm:charStyle name="Normal" fontId="0" Id="1"/>
      </pm:charStyles>
      <pm:colors xmlns:pm="smNativeData" id="1777598330" count="28">
        <pm:color name="Cor 24" rgb="A8B8D8"/>
        <pm:color name="Cor 25" rgb="1B2A4A"/>
        <pm:color name="Cor 26" rgb="2E7D32"/>
        <pm:color name="Cor 27" rgb="C62828"/>
        <pm:color name="Cor 28" rgb="6A1B9A"/>
        <pm:color name="Cor 29" rgb="6B7A99"/>
        <pm:color name="Cor 30" rgb="5C6880"/>
        <pm:color name="Cor 31" rgb="E65100"/>
        <pm:color name="Cor 32" rgb="1976D2"/>
        <pm:color name="Cor 33" rgb="F59E0B"/>
        <pm:color name="Cor 34" rgb="243657"/>
        <pm:color name="Cor 35" rgb="123A63"/>
        <pm:color name="Cor 36" rgb="EEF1F8"/>
        <pm:color name="Cor 37" rgb="F5F6FA"/>
        <pm:color name="Cor 38" rgb="C8E6C9"/>
        <pm:color name="Cor 39" rgb="D8DCE6"/>
        <pm:color name="Cor 40" rgb="FFCDD2"/>
        <pm:color name="Cor 41" rgb="E1BEE7"/>
        <pm:color name="Cor 42" rgb="0F7B6C"/>
        <pm:color name="Cor 43" rgb="993366"/>
        <pm:color name="Cor 44" rgb="800080"/>
        <pm:color name="Cor 45" rgb="0A5C52"/>
        <pm:color name="Cor 46" rgb="FFEBEE"/>
        <pm:color name="Cor 47" rgb="E8F5E9"/>
        <pm:color name="Cor 48" rgb="FFF8E1"/>
        <pm:color name="Cor 49" rgb="E3F2FD"/>
        <pm:color name="Cor 50" rgb="2F79C8"/>
        <pm:color name="Cor 51" rgb="FFFF9E"/>
      </pm:colors>
    </ext>
  </extLst>
</styleSheet>
</file>

<file path=xl/_rels/workbook.xml.rels><?xml version="1.0" encoding="UTF-8" standalone="yes" 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haredStrings" Target="sharedStrings.xml"/><Relationship Id="rId3" Type="http://schemas.openxmlformats.org/officeDocument/2006/relationships/styles" Target="style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>
  <sheetPr>
    <tabColor rgb="0F7B6C"/>
  </sheetPr>
  <dimension ref="A1:I75"/>
  <sheetViews>
    <sheetView showGridLines="0" tabSelected="1" view="normal" topLeftCell="A52" zoomScale="120" workbookViewId="0">
      <selection activeCell="J57" sqref="J57"/>
    </sheetView>
  </sheetViews>
  <sheetFormatPr defaultRowHeight="15.40"/>
  <cols>
    <col min="1" max="1" width="5.000000" customWidth="1" style="0"/>
    <col min="2" max="2" width="18.000000" customWidth="1" style="0"/>
    <col min="3" max="3" width="30.000000" customWidth="1" style="0"/>
    <col min="4" max="4" width="36.000000" customWidth="1" style="0"/>
    <col min="5" max="5" width="12.000000" customWidth="1" style="0"/>
    <col min="6" max="7" width="15.000000" customWidth="1" style="0"/>
    <col min="8" max="8" width="14.000000" customWidth="1" style="0"/>
    <col min="9" max="9" width="28.000000" customWidth="1" style="0"/>
  </cols>
  <sheetData>
    <row r="1" spans="1:1" ht="48" customHeight="1">
      <c r="A1" s="6" t="s">
        <v>0</v>
      </c>
    </row>
    <row r="2" spans="1:1" ht="24" customHeight="1">
      <c r="A2" s="7" t="s">
        <v>1</v>
      </c>
    </row>
    <row r="3" spans="1:9" ht="9.75" customHeight="1">
      <c r="A3" s="8"/>
      <c r="B3" s="8"/>
      <c r="C3" s="8"/>
      <c r="D3" s="8"/>
      <c r="E3" s="8"/>
      <c r="F3" s="8"/>
      <c r="G3" s="8"/>
      <c r="H3" s="8"/>
      <c r="I3" s="8"/>
    </row>
    <row r="4" spans="1:9" ht="13.50" customHeight="1">
      <c r="A4" s="9" t="s">
        <v>2</v>
      </c>
      <c r="C4" s="10" t="s">
        <v>3</v>
      </c>
      <c r="E4" s="11" t="s">
        <v>4</v>
      </c>
      <c r="G4" s="12" t="s">
        <v>5</v>
      </c>
      <c r="I4" s="8"/>
    </row>
    <row r="5" spans="1:9" ht="36" customHeight="1">
      <c r="A5" s="13">
        <f>COUNTIF($A$8:$A$100,"&lt;&gt;")</f>
        <v>68</v>
      </c>
      <c r="C5" s="14">
        <f>COUNTIF($F$8:$F$100,"Aprovado")</f>
        <v>66</v>
      </c>
      <c r="E5" s="15">
        <f>COUNTIF($F$8:$F$100,"Falhou")</f>
        <v>1</v>
      </c>
      <c r="G5" s="16">
        <f>COUNTIF($F$8:$F$100,"Bloqueado")</f>
        <v>0</v>
      </c>
      <c r="I5" s="8"/>
    </row>
    <row r="6" spans="1:9" ht="9.75" customHeight="1">
      <c r="A6" s="8"/>
      <c r="B6" s="8"/>
      <c r="C6" s="8"/>
      <c r="D6" s="8"/>
      <c r="E6" s="8"/>
      <c r="F6" s="8"/>
      <c r="G6" s="8"/>
      <c r="H6" s="8"/>
      <c r="I6" s="8"/>
    </row>
    <row r="7" spans="1:9" ht="30" customHeight="1">
      <c r="A7" s="17" t="s">
        <v>6</v>
      </c>
      <c r="B7" s="17" t="s">
        <v>7</v>
      </c>
      <c r="C7" s="17" t="s">
        <v>8</v>
      </c>
      <c r="D7" s="17" t="s">
        <v>9</v>
      </c>
      <c r="E7" s="17" t="s">
        <v>10</v>
      </c>
      <c r="F7" s="17" t="s">
        <v>11</v>
      </c>
      <c r="G7" s="17" t="s">
        <v>12</v>
      </c>
      <c r="H7" s="17" t="s">
        <v>13</v>
      </c>
      <c r="I7" s="17" t="s">
        <v>14</v>
      </c>
    </row>
    <row r="8" spans="1:9" ht="27.75" customHeight="1">
      <c r="A8" s="18" t="n">
        <v>1</v>
      </c>
      <c r="B8" s="19" t="s">
        <v>15</v>
      </c>
      <c r="C8" s="20" t="s">
        <v>16</v>
      </c>
      <c r="D8" s="21" t="s">
        <v>17</v>
      </c>
      <c r="E8" s="22" t="s">
        <v>18</v>
      </c>
      <c r="F8" s="23" t="s">
        <v>19</v>
      </c>
      <c r="G8" s="24" t="s">
        <v>20</v>
      </c>
      <c r="H8" s="25"/>
      <c r="I8" s="26"/>
    </row>
    <row r="9" spans="1:9" ht="27.75" customHeight="1">
      <c r="A9" s="27" t="n">
        <v>2</v>
      </c>
      <c r="B9" s="28" t="s">
        <v>21</v>
      </c>
      <c r="C9" s="29" t="s">
        <v>22</v>
      </c>
      <c r="D9" s="30" t="s">
        <v>23</v>
      </c>
      <c r="E9" s="22" t="s">
        <v>24</v>
      </c>
      <c r="F9" s="23" t="s">
        <v>25</v>
      </c>
      <c r="G9" s="31" t="s">
        <v>26</v>
      </c>
      <c r="H9" s="32"/>
      <c r="I9" s="33"/>
    </row>
    <row r="10" spans="1:9" ht="27.75" customHeight="1">
      <c r="A10" s="18" t="n">
        <v>3</v>
      </c>
      <c r="B10" s="19" t="s">
        <v>27</v>
      </c>
      <c r="C10" s="20" t="s">
        <v>28</v>
      </c>
      <c r="D10" s="21" t="s">
        <v>29</v>
      </c>
      <c r="E10" s="22" t="s">
        <v>30</v>
      </c>
      <c r="F10" s="23" t="s">
        <v>31</v>
      </c>
      <c r="G10" s="24" t="s">
        <v>32</v>
      </c>
      <c r="H10" s="25"/>
      <c r="I10" s="26" t="s">
        <v>33</v>
      </c>
    </row>
    <row r="11" spans="1:9" ht="27.75" customHeight="1">
      <c r="A11" s="27" t="n">
        <v>4</v>
      </c>
      <c r="B11" s="28" t="s">
        <v>34</v>
      </c>
      <c r="C11" s="29" t="s">
        <v>35</v>
      </c>
      <c r="D11" s="30" t="s">
        <v>36</v>
      </c>
      <c r="E11" s="34" t="s">
        <v>37</v>
      </c>
      <c r="F11" s="23" t="s">
        <v>38</v>
      </c>
      <c r="G11" s="31" t="s">
        <v>39</v>
      </c>
      <c r="H11" s="32"/>
      <c r="I11" s="33"/>
    </row>
    <row r="12" spans="1:9" ht="27.75" customHeight="1">
      <c r="A12" s="18" t="n">
        <v>5</v>
      </c>
      <c r="B12" s="19" t="s">
        <v>40</v>
      </c>
      <c r="C12" s="20" t="s">
        <v>41</v>
      </c>
      <c r="D12" s="21" t="s">
        <v>42</v>
      </c>
      <c r="E12" s="22" t="s">
        <v>43</v>
      </c>
      <c r="F12" s="23" t="s">
        <v>44</v>
      </c>
      <c r="G12" s="24" t="s">
        <v>45</v>
      </c>
      <c r="H12" s="25"/>
      <c r="I12" s="26"/>
    </row>
    <row r="13" spans="1:9" ht="27.75" customHeight="1">
      <c r="A13" s="27" t="n">
        <v>6</v>
      </c>
      <c r="B13" s="28" t="s">
        <v>46</v>
      </c>
      <c r="C13" s="29" t="s">
        <v>47</v>
      </c>
      <c r="D13" s="30" t="s">
        <v>48</v>
      </c>
      <c r="E13" s="22" t="s">
        <v>49</v>
      </c>
      <c r="F13" s="23" t="s">
        <v>50</v>
      </c>
      <c r="G13" s="31" t="s">
        <v>51</v>
      </c>
      <c r="H13" s="32"/>
      <c r="I13" s="33"/>
    </row>
    <row r="14" spans="1:9" ht="27.75" customHeight="1">
      <c r="A14" s="18" t="n">
        <v>7</v>
      </c>
      <c r="B14" s="19" t="s">
        <v>52</v>
      </c>
      <c r="C14" s="20" t="s">
        <v>53</v>
      </c>
      <c r="D14" s="21" t="s">
        <v>54</v>
      </c>
      <c r="E14" s="22" t="s">
        <v>55</v>
      </c>
      <c r="F14" s="23" t="s">
        <v>56</v>
      </c>
      <c r="G14" s="24" t="s">
        <v>57</v>
      </c>
      <c r="H14" s="25"/>
      <c r="I14" s="26"/>
    </row>
    <row r="15" spans="1:9" ht="27.75" customHeight="1">
      <c r="A15" s="27" t="n">
        <v>8</v>
      </c>
      <c r="B15" s="28" t="s">
        <v>58</v>
      </c>
      <c r="C15" s="29" t="s">
        <v>59</v>
      </c>
      <c r="D15" s="30" t="s">
        <v>60</v>
      </c>
      <c r="E15" s="22" t="s">
        <v>61</v>
      </c>
      <c r="F15" s="23" t="s">
        <v>62</v>
      </c>
      <c r="G15" s="31" t="s">
        <v>63</v>
      </c>
      <c r="H15" s="32"/>
      <c r="I15" s="33"/>
    </row>
    <row r="16" spans="1:9" ht="27.75" customHeight="1">
      <c r="A16" s="18" t="n">
        <v>9</v>
      </c>
      <c r="B16" s="19" t="s">
        <v>64</v>
      </c>
      <c r="C16" s="20" t="s">
        <v>65</v>
      </c>
      <c r="D16" s="21" t="s">
        <v>66</v>
      </c>
      <c r="E16" s="22" t="s">
        <v>67</v>
      </c>
      <c r="F16" s="23" t="s">
        <v>68</v>
      </c>
      <c r="G16" s="24" t="s">
        <v>69</v>
      </c>
      <c r="H16" s="25"/>
      <c r="I16" s="26"/>
    </row>
    <row r="17" spans="1:9" ht="27.75" customHeight="1">
      <c r="A17" s="27" t="n">
        <v>10</v>
      </c>
      <c r="B17" s="28" t="s">
        <v>70</v>
      </c>
      <c r="C17" s="29" t="s">
        <v>71</v>
      </c>
      <c r="D17" s="30" t="s">
        <v>72</v>
      </c>
      <c r="E17" s="34" t="s">
        <v>73</v>
      </c>
      <c r="F17" s="23" t="s">
        <v>74</v>
      </c>
      <c r="G17" s="31" t="s">
        <v>75</v>
      </c>
      <c r="H17" s="32"/>
      <c r="I17" s="33"/>
    </row>
    <row r="18" spans="1:9" ht="27.75" customHeight="1">
      <c r="A18" s="18" t="n">
        <v>11</v>
      </c>
      <c r="B18" s="19" t="s">
        <v>76</v>
      </c>
      <c r="C18" s="20" t="s">
        <v>77</v>
      </c>
      <c r="D18" s="21" t="s">
        <v>78</v>
      </c>
      <c r="E18" s="34" t="s">
        <v>79</v>
      </c>
      <c r="F18" s="23" t="s">
        <v>80</v>
      </c>
      <c r="G18" s="24" t="s">
        <v>81</v>
      </c>
      <c r="H18" s="25"/>
      <c r="I18" s="26"/>
    </row>
    <row r="19" spans="1:9" ht="27.75" customHeight="1">
      <c r="A19" s="27" t="n">
        <v>12</v>
      </c>
      <c r="B19" s="28" t="s">
        <v>82</v>
      </c>
      <c r="C19" s="29" t="s">
        <v>83</v>
      </c>
      <c r="D19" s="30" t="s">
        <v>84</v>
      </c>
      <c r="E19" s="22" t="s">
        <v>85</v>
      </c>
      <c r="F19" s="23" t="s">
        <v>86</v>
      </c>
      <c r="G19" s="31" t="s">
        <v>87</v>
      </c>
      <c r="H19" s="32"/>
      <c r="I19" s="33"/>
    </row>
    <row r="20" spans="1:9" ht="27.75" customHeight="1">
      <c r="A20" s="18" t="n">
        <v>13</v>
      </c>
      <c r="B20" s="19" t="s">
        <v>88</v>
      </c>
      <c r="C20" s="20" t="s">
        <v>89</v>
      </c>
      <c r="D20" s="21" t="s">
        <v>90</v>
      </c>
      <c r="E20" s="22" t="s">
        <v>91</v>
      </c>
      <c r="F20" s="23" t="s">
        <v>92</v>
      </c>
      <c r="G20" s="24" t="s">
        <v>93</v>
      </c>
      <c r="H20" s="25"/>
      <c r="I20" s="26"/>
    </row>
    <row r="21" spans="1:9" ht="27.75" customHeight="1">
      <c r="A21" s="27" t="n">
        <v>14</v>
      </c>
      <c r="B21" s="28" t="s">
        <v>94</v>
      </c>
      <c r="C21" s="29" t="s">
        <v>95</v>
      </c>
      <c r="D21" s="30" t="s">
        <v>96</v>
      </c>
      <c r="E21" s="34" t="s">
        <v>97</v>
      </c>
      <c r="F21" s="23" t="s">
        <v>98</v>
      </c>
      <c r="G21" s="31" t="s">
        <v>99</v>
      </c>
      <c r="H21" s="32"/>
      <c r="I21" s="33"/>
    </row>
    <row r="22" spans="1:9" ht="27.75" customHeight="1">
      <c r="A22" s="18" t="n">
        <v>15</v>
      </c>
      <c r="B22" s="19" t="s">
        <v>100</v>
      </c>
      <c r="C22" s="20" t="s">
        <v>101</v>
      </c>
      <c r="D22" s="21" t="s">
        <v>102</v>
      </c>
      <c r="E22" s="22" t="s">
        <v>103</v>
      </c>
      <c r="F22" s="23" t="s">
        <v>104</v>
      </c>
      <c r="G22" s="24" t="s">
        <v>105</v>
      </c>
      <c r="H22" s="25"/>
      <c r="I22" s="26"/>
    </row>
    <row r="23" spans="1:9" ht="27.75" customHeight="1">
      <c r="A23" s="27" t="n">
        <v>16</v>
      </c>
      <c r="B23" s="28" t="s">
        <v>106</v>
      </c>
      <c r="C23" s="29" t="s">
        <v>107</v>
      </c>
      <c r="D23" s="30" t="s">
        <v>108</v>
      </c>
      <c r="E23" s="34" t="s">
        <v>109</v>
      </c>
      <c r="F23" s="23" t="s">
        <v>110</v>
      </c>
      <c r="G23" s="31" t="s">
        <v>111</v>
      </c>
      <c r="H23" s="32"/>
      <c r="I23" s="33" t="s">
        <v>112</v>
      </c>
    </row>
    <row r="24" spans="1:9" ht="27.75" customHeight="1">
      <c r="A24" s="18" t="n">
        <v>17</v>
      </c>
      <c r="B24" s="19" t="s">
        <v>113</v>
      </c>
      <c r="C24" s="20" t="s">
        <v>114</v>
      </c>
      <c r="D24" s="21" t="s">
        <v>115</v>
      </c>
      <c r="E24" s="22" t="s">
        <v>116</v>
      </c>
      <c r="F24" s="23" t="s">
        <v>117</v>
      </c>
      <c r="G24" s="24" t="s">
        <v>118</v>
      </c>
      <c r="H24" s="25"/>
      <c r="I24" s="26"/>
    </row>
    <row r="25" spans="1:9" ht="27.75" customHeight="1">
      <c r="A25" s="27" t="n">
        <v>18</v>
      </c>
      <c r="B25" s="28" t="s">
        <v>119</v>
      </c>
      <c r="C25" s="29" t="s">
        <v>120</v>
      </c>
      <c r="D25" s="30" t="s">
        <v>121</v>
      </c>
      <c r="E25" s="22" t="s">
        <v>122</v>
      </c>
      <c r="F25" s="22" t="s">
        <v>123</v>
      </c>
      <c r="G25" s="31" t="s">
        <v>124</v>
      </c>
      <c r="H25" s="32"/>
      <c r="I25" s="33" t="s">
        <v>125</v>
      </c>
    </row>
    <row r="26" spans="1:9" ht="27.75" customHeight="1">
      <c r="A26" s="18" t="n">
        <v>19</v>
      </c>
      <c r="B26" s="19" t="s">
        <v>126</v>
      </c>
      <c r="C26" s="20" t="s">
        <v>127</v>
      </c>
      <c r="D26" s="21" t="s">
        <v>128</v>
      </c>
      <c r="E26" s="22" t="s">
        <v>129</v>
      </c>
      <c r="F26" s="23" t="s">
        <v>130</v>
      </c>
      <c r="G26" s="24" t="s">
        <v>131</v>
      </c>
      <c r="H26" s="25"/>
      <c r="I26" s="26" t="s">
        <v>132</v>
      </c>
    </row>
    <row r="27" spans="1:9" ht="27.75" customHeight="1">
      <c r="A27" s="27" t="n">
        <v>20</v>
      </c>
      <c r="B27" s="28" t="s">
        <v>133</v>
      </c>
      <c r="C27" s="29" t="s">
        <v>134</v>
      </c>
      <c r="D27" s="30" t="s">
        <v>135</v>
      </c>
      <c r="E27" s="22" t="s">
        <v>136</v>
      </c>
      <c r="F27" s="35" t="s">
        <v>137</v>
      </c>
      <c r="G27" s="31" t="s">
        <v>138</v>
      </c>
      <c r="H27" s="32"/>
      <c r="I27" s="33"/>
    </row>
    <row r="28" spans="1:9" ht="27.75" customHeight="1">
      <c r="A28" s="18" t="n">
        <v>21</v>
      </c>
      <c r="B28" s="19" t="s">
        <v>139</v>
      </c>
      <c r="C28" s="20" t="s">
        <v>140</v>
      </c>
      <c r="D28" s="21" t="s">
        <v>141</v>
      </c>
      <c r="E28" s="22" t="s">
        <v>142</v>
      </c>
      <c r="F28" s="23" t="s">
        <v>143</v>
      </c>
      <c r="G28" s="24" t="s">
        <v>144</v>
      </c>
      <c r="H28" s="25"/>
      <c r="I28" s="26"/>
    </row>
    <row r="29" spans="1:9" ht="27.75" customHeight="1">
      <c r="A29" s="27" t="n">
        <v>22</v>
      </c>
      <c r="B29" s="28" t="s">
        <v>145</v>
      </c>
      <c r="C29" s="29" t="s">
        <v>146</v>
      </c>
      <c r="D29" s="30" t="s">
        <v>147</v>
      </c>
      <c r="E29" s="34" t="s">
        <v>148</v>
      </c>
      <c r="F29" s="23" t="s">
        <v>149</v>
      </c>
      <c r="G29" s="31" t="s">
        <v>150</v>
      </c>
      <c r="H29" s="32"/>
      <c r="I29" s="33"/>
    </row>
    <row r="30" spans="1:9" ht="27.75" customHeight="1">
      <c r="A30" s="18" t="n">
        <v>23</v>
      </c>
      <c r="B30" s="19" t="s">
        <v>151</v>
      </c>
      <c r="C30" s="20" t="s">
        <v>152</v>
      </c>
      <c r="D30" s="21" t="s">
        <v>153</v>
      </c>
      <c r="E30" s="22" t="s">
        <v>154</v>
      </c>
      <c r="F30" s="23" t="s">
        <v>155</v>
      </c>
      <c r="G30" s="24" t="s">
        <v>156</v>
      </c>
      <c r="H30" s="25"/>
      <c r="I30" s="26"/>
    </row>
    <row r="31" spans="1:9" ht="27.75" customHeight="1">
      <c r="A31" s="27" t="n">
        <v>24</v>
      </c>
      <c r="B31" s="28" t="s">
        <v>157</v>
      </c>
      <c r="C31" s="29" t="s">
        <v>158</v>
      </c>
      <c r="D31" s="30" t="s">
        <v>159</v>
      </c>
      <c r="E31" s="22" t="s">
        <v>160</v>
      </c>
      <c r="F31" s="23" t="s">
        <v>161</v>
      </c>
      <c r="G31" s="31" t="s">
        <v>162</v>
      </c>
      <c r="H31" s="32"/>
      <c r="I31" s="33"/>
    </row>
    <row r="32" spans="1:9" ht="27.75" customHeight="1">
      <c r="A32" s="18" t="n">
        <v>25</v>
      </c>
      <c r="B32" s="19" t="s">
        <v>163</v>
      </c>
      <c r="C32" s="20" t="s">
        <v>164</v>
      </c>
      <c r="D32" s="21" t="s">
        <v>165</v>
      </c>
      <c r="E32" s="22" t="s">
        <v>166</v>
      </c>
      <c r="F32" s="23" t="s">
        <v>167</v>
      </c>
      <c r="G32" s="24" t="s">
        <v>168</v>
      </c>
      <c r="H32" s="25"/>
      <c r="I32" s="26"/>
    </row>
    <row r="33" spans="1:9" ht="27.75" customHeight="1">
      <c r="A33" s="27" t="n">
        <v>26</v>
      </c>
      <c r="B33" s="28" t="s">
        <v>169</v>
      </c>
      <c r="C33" s="29" t="s">
        <v>170</v>
      </c>
      <c r="D33" s="30" t="s">
        <v>171</v>
      </c>
      <c r="E33" s="22" t="s">
        <v>172</v>
      </c>
      <c r="F33" s="23" t="s">
        <v>173</v>
      </c>
      <c r="G33" s="31" t="s">
        <v>174</v>
      </c>
      <c r="H33" s="32"/>
      <c r="I33" s="33"/>
    </row>
    <row r="34" spans="1:9" ht="27.75" customHeight="1">
      <c r="A34" s="18" t="n">
        <v>27</v>
      </c>
      <c r="B34" s="19" t="s">
        <v>175</v>
      </c>
      <c r="C34" s="20" t="s">
        <v>176</v>
      </c>
      <c r="D34" s="21" t="s">
        <v>177</v>
      </c>
      <c r="E34" s="22" t="s">
        <v>178</v>
      </c>
      <c r="F34" s="23" t="s">
        <v>179</v>
      </c>
      <c r="G34" s="24" t="s">
        <v>180</v>
      </c>
      <c r="H34" s="25"/>
      <c r="I34" s="26"/>
    </row>
    <row r="35" spans="1:9" ht="27.75" customHeight="1">
      <c r="A35" s="27" t="n">
        <v>28</v>
      </c>
      <c r="B35" s="28" t="s">
        <v>181</v>
      </c>
      <c r="C35" s="29" t="s">
        <v>182</v>
      </c>
      <c r="D35" s="30" t="s">
        <v>183</v>
      </c>
      <c r="E35" s="34" t="s">
        <v>184</v>
      </c>
      <c r="F35" s="23" t="s">
        <v>185</v>
      </c>
      <c r="G35" s="31" t="s">
        <v>186</v>
      </c>
      <c r="H35" s="32"/>
      <c r="I35" s="33"/>
    </row>
    <row r="36" spans="1:9" ht="27.75" customHeight="1">
      <c r="A36" s="18" t="n">
        <v>29</v>
      </c>
      <c r="B36" s="19" t="s">
        <v>187</v>
      </c>
      <c r="C36" s="20" t="s">
        <v>188</v>
      </c>
      <c r="D36" s="21" t="s">
        <v>189</v>
      </c>
      <c r="E36" s="22" t="s">
        <v>190</v>
      </c>
      <c r="F36" s="23" t="s">
        <v>191</v>
      </c>
      <c r="G36" s="24" t="s">
        <v>192</v>
      </c>
      <c r="H36" s="25"/>
      <c r="I36" s="26"/>
    </row>
    <row r="37" spans="1:9" ht="27.75" customHeight="1">
      <c r="A37" s="27" t="n">
        <v>30</v>
      </c>
      <c r="B37" s="28" t="s">
        <v>193</v>
      </c>
      <c r="C37" s="29" t="s">
        <v>194</v>
      </c>
      <c r="D37" s="30" t="s">
        <v>195</v>
      </c>
      <c r="E37" s="22" t="s">
        <v>196</v>
      </c>
      <c r="F37" s="23" t="s">
        <v>197</v>
      </c>
      <c r="G37" s="31" t="s">
        <v>198</v>
      </c>
      <c r="H37" s="32"/>
      <c r="I37" s="33"/>
    </row>
    <row r="38" spans="1:9" ht="27.75" customHeight="1">
      <c r="A38" s="18" t="n">
        <v>31</v>
      </c>
      <c r="B38" s="19" t="s">
        <v>199</v>
      </c>
      <c r="C38" s="20" t="s">
        <v>200</v>
      </c>
      <c r="D38" s="21" t="s">
        <v>201</v>
      </c>
      <c r="E38" s="22" t="s">
        <v>202</v>
      </c>
      <c r="F38" s="23" t="s">
        <v>203</v>
      </c>
      <c r="G38" s="24" t="s">
        <v>204</v>
      </c>
      <c r="H38" s="25"/>
      <c r="I38" s="26"/>
    </row>
    <row r="39" spans="1:9" ht="27.75" customHeight="1">
      <c r="A39" s="27" t="n">
        <v>32</v>
      </c>
      <c r="B39" s="28" t="s">
        <v>205</v>
      </c>
      <c r="C39" s="29" t="s">
        <v>206</v>
      </c>
      <c r="D39" s="30" t="s">
        <v>207</v>
      </c>
      <c r="E39" s="22" t="s">
        <v>208</v>
      </c>
      <c r="F39" s="23" t="s">
        <v>209</v>
      </c>
      <c r="G39" s="31" t="s">
        <v>210</v>
      </c>
      <c r="H39" s="32"/>
      <c r="I39" s="33"/>
    </row>
    <row r="40" spans="1:9" ht="27.75" customHeight="1">
      <c r="A40" s="18" t="n">
        <v>33</v>
      </c>
      <c r="B40" s="19" t="s">
        <v>211</v>
      </c>
      <c r="C40" s="20" t="s">
        <v>212</v>
      </c>
      <c r="D40" s="21" t="s">
        <v>213</v>
      </c>
      <c r="E40" s="22" t="s">
        <v>214</v>
      </c>
      <c r="F40" s="23" t="s">
        <v>215</v>
      </c>
      <c r="G40" s="24" t="s">
        <v>216</v>
      </c>
      <c r="H40" s="25"/>
      <c r="I40" s="26"/>
    </row>
    <row r="41" spans="1:9" ht="27.75" customHeight="1">
      <c r="A41" s="27" t="n">
        <v>34</v>
      </c>
      <c r="B41" s="28" t="s">
        <v>217</v>
      </c>
      <c r="C41" s="29" t="s">
        <v>218</v>
      </c>
      <c r="D41" s="30" t="s">
        <v>219</v>
      </c>
      <c r="E41" s="22" t="s">
        <v>220</v>
      </c>
      <c r="F41" s="23" t="s">
        <v>221</v>
      </c>
      <c r="G41" s="31" t="s">
        <v>222</v>
      </c>
      <c r="H41" s="32"/>
      <c r="I41" s="33"/>
    </row>
    <row r="42" spans="1:9" ht="27.75" customHeight="1">
      <c r="A42" s="18" t="n">
        <v>35</v>
      </c>
      <c r="B42" s="19" t="s">
        <v>223</v>
      </c>
      <c r="C42" s="20" t="s">
        <v>224</v>
      </c>
      <c r="D42" s="21" t="s">
        <v>225</v>
      </c>
      <c r="E42" s="34" t="s">
        <v>226</v>
      </c>
      <c r="F42" s="23" t="s">
        <v>227</v>
      </c>
      <c r="G42" s="24" t="s">
        <v>228</v>
      </c>
      <c r="H42" s="25"/>
      <c r="I42" s="26"/>
    </row>
    <row r="43" spans="1:9" ht="27.75" customHeight="1">
      <c r="A43" s="27" t="n">
        <v>36</v>
      </c>
      <c r="B43" s="28" t="s">
        <v>229</v>
      </c>
      <c r="C43" s="29" t="s">
        <v>230</v>
      </c>
      <c r="D43" s="30" t="s">
        <v>231</v>
      </c>
      <c r="E43" s="34" t="s">
        <v>232</v>
      </c>
      <c r="F43" s="23" t="s">
        <v>233</v>
      </c>
      <c r="G43" s="31" t="s">
        <v>234</v>
      </c>
      <c r="H43" s="32"/>
      <c r="I43" s="33"/>
    </row>
    <row r="44" spans="1:9" ht="27.75" customHeight="1">
      <c r="A44" s="18" t="n">
        <v>37</v>
      </c>
      <c r="B44" s="19" t="s">
        <v>235</v>
      </c>
      <c r="C44" s="20" t="s">
        <v>236</v>
      </c>
      <c r="D44" s="21" t="s">
        <v>237</v>
      </c>
      <c r="E44" s="22" t="s">
        <v>238</v>
      </c>
      <c r="F44" s="23" t="s">
        <v>239</v>
      </c>
      <c r="G44" s="24" t="s">
        <v>240</v>
      </c>
      <c r="H44" s="25"/>
      <c r="I44" s="26"/>
    </row>
    <row r="45" spans="1:9" ht="27.75" customHeight="1">
      <c r="A45" s="27" t="n">
        <v>38</v>
      </c>
      <c r="B45" s="28" t="s">
        <v>241</v>
      </c>
      <c r="C45" s="29" t="s">
        <v>242</v>
      </c>
      <c r="D45" s="30" t="s">
        <v>243</v>
      </c>
      <c r="E45" s="22" t="s">
        <v>244</v>
      </c>
      <c r="F45" s="23" t="s">
        <v>245</v>
      </c>
      <c r="G45" s="31" t="s">
        <v>246</v>
      </c>
      <c r="H45" s="32"/>
      <c r="I45" s="33"/>
    </row>
    <row r="46" spans="1:9" ht="27.75" customHeight="1">
      <c r="A46" s="18" t="n">
        <v>39</v>
      </c>
      <c r="B46" s="19" t="s">
        <v>247</v>
      </c>
      <c r="C46" s="20" t="s">
        <v>248</v>
      </c>
      <c r="D46" s="21" t="s">
        <v>249</v>
      </c>
      <c r="E46" s="22" t="s">
        <v>250</v>
      </c>
      <c r="F46" s="23" t="s">
        <v>251</v>
      </c>
      <c r="G46" s="24" t="s">
        <v>252</v>
      </c>
      <c r="H46" s="25"/>
      <c r="I46" s="26"/>
    </row>
    <row r="47" spans="1:9" ht="27.75" customHeight="1">
      <c r="A47" s="27" t="n">
        <v>40</v>
      </c>
      <c r="B47" s="28" t="s">
        <v>253</v>
      </c>
      <c r="C47" s="29" t="s">
        <v>254</v>
      </c>
      <c r="D47" s="30" t="s">
        <v>255</v>
      </c>
      <c r="E47" s="22" t="s">
        <v>256</v>
      </c>
      <c r="F47" s="23" t="s">
        <v>257</v>
      </c>
      <c r="G47" s="31" t="s">
        <v>258</v>
      </c>
      <c r="H47" s="32"/>
      <c r="I47" s="33"/>
    </row>
    <row r="48" spans="1:9" ht="27.75" customHeight="1">
      <c r="A48" s="18" t="n">
        <v>41</v>
      </c>
      <c r="B48" s="19" t="s">
        <v>259</v>
      </c>
      <c r="C48" s="20" t="s">
        <v>260</v>
      </c>
      <c r="D48" s="21" t="s">
        <v>261</v>
      </c>
      <c r="E48" s="22" t="s">
        <v>262</v>
      </c>
      <c r="F48" s="23" t="s">
        <v>263</v>
      </c>
      <c r="G48" s="24" t="s">
        <v>264</v>
      </c>
      <c r="H48" s="25"/>
      <c r="I48" s="26"/>
    </row>
    <row r="49" spans="1:9" ht="27.75" customHeight="1">
      <c r="A49" s="27" t="n">
        <v>42</v>
      </c>
      <c r="B49" s="28" t="s">
        <v>265</v>
      </c>
      <c r="C49" s="29" t="s">
        <v>266</v>
      </c>
      <c r="D49" s="30" t="s">
        <v>267</v>
      </c>
      <c r="E49" s="22" t="s">
        <v>268</v>
      </c>
      <c r="F49" s="23" t="s">
        <v>269</v>
      </c>
      <c r="G49" s="31" t="s">
        <v>270</v>
      </c>
      <c r="H49" s="32"/>
      <c r="I49" s="33"/>
    </row>
    <row r="50" spans="1:9" ht="27.75" customHeight="1">
      <c r="A50" s="18" t="n">
        <v>43</v>
      </c>
      <c r="B50" s="19" t="s">
        <v>271</v>
      </c>
      <c r="C50" s="20" t="s">
        <v>272</v>
      </c>
      <c r="D50" s="21" t="s">
        <v>273</v>
      </c>
      <c r="E50" s="22" t="s">
        <v>274</v>
      </c>
      <c r="F50" s="23" t="s">
        <v>275</v>
      </c>
      <c r="G50" s="24" t="s">
        <v>276</v>
      </c>
      <c r="H50" s="25"/>
      <c r="I50" s="26" t="s">
        <v>277</v>
      </c>
    </row>
    <row r="51" spans="1:9" ht="27.75" customHeight="1">
      <c r="A51" s="27" t="n">
        <v>44</v>
      </c>
      <c r="B51" s="28" t="s">
        <v>278</v>
      </c>
      <c r="C51" s="29" t="s">
        <v>279</v>
      </c>
      <c r="D51" s="30" t="s">
        <v>280</v>
      </c>
      <c r="E51" s="22" t="s">
        <v>281</v>
      </c>
      <c r="F51" s="23" t="s">
        <v>282</v>
      </c>
      <c r="G51" s="31" t="s">
        <v>283</v>
      </c>
      <c r="H51" s="32"/>
      <c r="I51" s="33"/>
    </row>
    <row r="52" spans="1:9" ht="27.75" customHeight="1">
      <c r="A52" s="18" t="n">
        <v>45</v>
      </c>
      <c r="B52" s="19" t="s">
        <v>284</v>
      </c>
      <c r="C52" s="20" t="s">
        <v>285</v>
      </c>
      <c r="D52" s="21" t="s">
        <v>286</v>
      </c>
      <c r="E52" s="22" t="s">
        <v>287</v>
      </c>
      <c r="F52" s="23" t="s">
        <v>288</v>
      </c>
      <c r="G52" s="24" t="s">
        <v>289</v>
      </c>
      <c r="H52" s="25"/>
      <c r="I52" s="26"/>
    </row>
    <row r="53" spans="1:9" ht="27.75" customHeight="1">
      <c r="A53" s="27" t="n">
        <v>46</v>
      </c>
      <c r="B53" s="28" t="s">
        <v>290</v>
      </c>
      <c r="C53" s="29" t="s">
        <v>291</v>
      </c>
      <c r="D53" s="30" t="s">
        <v>292</v>
      </c>
      <c r="E53" s="34" t="s">
        <v>293</v>
      </c>
      <c r="F53" s="23" t="s">
        <v>294</v>
      </c>
      <c r="G53" s="31" t="s">
        <v>295</v>
      </c>
      <c r="H53" s="32"/>
      <c r="I53" s="33"/>
    </row>
    <row r="54" spans="1:9" ht="27.75" customHeight="1">
      <c r="A54" s="18" t="n">
        <v>47</v>
      </c>
      <c r="B54" s="19" t="s">
        <v>296</v>
      </c>
      <c r="C54" s="20" t="s">
        <v>297</v>
      </c>
      <c r="D54" s="21" t="s">
        <v>298</v>
      </c>
      <c r="E54" s="34" t="s">
        <v>299</v>
      </c>
      <c r="F54" s="23" t="s">
        <v>300</v>
      </c>
      <c r="G54" s="24" t="s">
        <v>301</v>
      </c>
      <c r="H54" s="25"/>
      <c r="I54" s="26"/>
    </row>
    <row r="55" spans="1:9" ht="27.75" customHeight="1">
      <c r="A55" s="27" t="n">
        <v>48</v>
      </c>
      <c r="B55" s="28" t="s">
        <v>302</v>
      </c>
      <c r="C55" s="29" t="s">
        <v>303</v>
      </c>
      <c r="D55" s="30" t="s">
        <v>304</v>
      </c>
      <c r="E55" s="34" t="s">
        <v>305</v>
      </c>
      <c r="F55" s="23" t="s">
        <v>306</v>
      </c>
      <c r="G55" s="31" t="s">
        <v>307</v>
      </c>
      <c r="H55" s="32"/>
      <c r="I55" s="33"/>
    </row>
    <row r="56" spans="1:9" ht="27.75" customHeight="1">
      <c r="A56" s="18" t="n">
        <v>49</v>
      </c>
      <c r="B56" s="19" t="s">
        <v>308</v>
      </c>
      <c r="C56" s="20" t="s">
        <v>309</v>
      </c>
      <c r="D56" s="21" t="s">
        <v>310</v>
      </c>
      <c r="E56" s="22" t="s">
        <v>311</v>
      </c>
      <c r="F56" s="23" t="s">
        <v>312</v>
      </c>
      <c r="G56" s="24" t="s">
        <v>313</v>
      </c>
      <c r="H56" s="25"/>
      <c r="I56" s="26"/>
    </row>
    <row r="57" spans="1:9" ht="27.75" customHeight="1">
      <c r="A57" s="27" t="n">
        <v>50</v>
      </c>
      <c r="B57" s="28" t="s">
        <v>314</v>
      </c>
      <c r="C57" s="29" t="s">
        <v>315</v>
      </c>
      <c r="D57" s="30" t="s">
        <v>316</v>
      </c>
      <c r="E57" s="22" t="s">
        <v>317</v>
      </c>
      <c r="F57" s="23" t="s">
        <v>312</v>
      </c>
      <c r="G57" s="24" t="s">
        <v>313</v>
      </c>
      <c r="H57" s="32"/>
      <c r="I57" s="33" t="s">
        <v>318</v>
      </c>
    </row>
    <row r="58" spans="1:9" ht="27.75" customHeight="1">
      <c r="A58" s="18" t="n">
        <v>51</v>
      </c>
      <c r="B58" s="19" t="s">
        <v>319</v>
      </c>
      <c r="C58" s="20" t="s">
        <v>320</v>
      </c>
      <c r="D58" s="21" t="s">
        <v>321</v>
      </c>
      <c r="E58" s="22" t="s">
        <v>322</v>
      </c>
      <c r="F58" s="23" t="s">
        <v>312</v>
      </c>
      <c r="G58" s="24" t="s">
        <v>313</v>
      </c>
      <c r="H58" s="25"/>
      <c r="I58" s="26"/>
    </row>
    <row r="59" spans="1:9" ht="27.75" customHeight="1">
      <c r="A59" s="27" t="n">
        <v>52</v>
      </c>
      <c r="B59" s="28" t="s">
        <v>323</v>
      </c>
      <c r="C59" s="29" t="s">
        <v>324</v>
      </c>
      <c r="D59" s="30" t="s">
        <v>325</v>
      </c>
      <c r="E59" s="22" t="s">
        <v>326</v>
      </c>
      <c r="F59" s="23" t="s">
        <v>312</v>
      </c>
      <c r="G59" s="24" t="s">
        <v>313</v>
      </c>
      <c r="H59" s="32"/>
      <c r="I59" s="33"/>
    </row>
    <row r="60" spans="1:9" ht="27.75" customHeight="1">
      <c r="A60" s="18" t="n">
        <v>53</v>
      </c>
      <c r="B60" s="19" t="s">
        <v>327</v>
      </c>
      <c r="C60" s="20" t="s">
        <v>328</v>
      </c>
      <c r="D60" s="21" t="s">
        <v>329</v>
      </c>
      <c r="E60" s="34" t="s">
        <v>330</v>
      </c>
      <c r="F60" s="23" t="s">
        <v>312</v>
      </c>
      <c r="G60" s="24" t="s">
        <v>313</v>
      </c>
      <c r="H60" s="25"/>
      <c r="I60" s="26"/>
    </row>
    <row r="61" spans="1:9" ht="27.75" customHeight="1">
      <c r="A61" s="27" t="n">
        <v>54</v>
      </c>
      <c r="B61" s="28" t="s">
        <v>331</v>
      </c>
      <c r="C61" s="29" t="s">
        <v>332</v>
      </c>
      <c r="D61" s="30" t="s">
        <v>333</v>
      </c>
      <c r="E61" s="22" t="s">
        <v>334</v>
      </c>
      <c r="F61" s="23" t="s">
        <v>312</v>
      </c>
      <c r="G61" s="24" t="s">
        <v>313</v>
      </c>
      <c r="H61" s="32"/>
      <c r="I61" s="33" t="s">
        <v>335</v>
      </c>
    </row>
    <row r="62" spans="1:9" ht="27.75" customHeight="1">
      <c r="A62" s="18" t="n">
        <v>55</v>
      </c>
      <c r="B62" s="19" t="s">
        <v>336</v>
      </c>
      <c r="C62" s="20" t="s">
        <v>337</v>
      </c>
      <c r="D62" s="21" t="s">
        <v>338</v>
      </c>
      <c r="E62" s="34" t="s">
        <v>339</v>
      </c>
      <c r="F62" s="23" t="s">
        <v>312</v>
      </c>
      <c r="G62" s="24" t="s">
        <v>313</v>
      </c>
      <c r="H62" s="25"/>
      <c r="I62" s="26"/>
    </row>
    <row r="63" spans="1:9" ht="27.75" customHeight="1">
      <c r="A63" s="27" t="n">
        <v>56</v>
      </c>
      <c r="B63" s="28" t="s">
        <v>340</v>
      </c>
      <c r="C63" s="29" t="s">
        <v>341</v>
      </c>
      <c r="D63" s="30" t="s">
        <v>342</v>
      </c>
      <c r="E63" s="22" t="s">
        <v>343</v>
      </c>
      <c r="F63" s="23" t="s">
        <v>312</v>
      </c>
      <c r="G63" s="24" t="s">
        <v>313</v>
      </c>
      <c r="H63" s="32"/>
      <c r="I63" s="33"/>
    </row>
    <row r="64" spans="1:9" ht="27.75" customHeight="1">
      <c r="A64" s="18" t="n">
        <v>57</v>
      </c>
      <c r="B64" s="19" t="s">
        <v>344</v>
      </c>
      <c r="C64" s="20" t="s">
        <v>345</v>
      </c>
      <c r="D64" s="21" t="s">
        <v>346</v>
      </c>
      <c r="E64" s="22" t="s">
        <v>347</v>
      </c>
      <c r="F64" s="23" t="s">
        <v>312</v>
      </c>
      <c r="G64" s="24" t="s">
        <v>313</v>
      </c>
      <c r="H64" s="25"/>
      <c r="I64" s="26" t="s">
        <v>348</v>
      </c>
    </row>
    <row r="65" spans="1:9" ht="27.75" customHeight="1">
      <c r="A65" s="27" t="n">
        <v>58</v>
      </c>
      <c r="B65" s="28" t="s">
        <v>349</v>
      </c>
      <c r="C65" s="29" t="s">
        <v>350</v>
      </c>
      <c r="D65" s="30" t="s">
        <v>351</v>
      </c>
      <c r="E65" s="22" t="s">
        <v>352</v>
      </c>
      <c r="F65" s="23" t="s">
        <v>312</v>
      </c>
      <c r="G65" s="24" t="s">
        <v>313</v>
      </c>
      <c r="H65" s="32"/>
      <c r="I65" s="33"/>
    </row>
    <row r="66" spans="1:9" ht="27.75" customHeight="1">
      <c r="A66" s="18" t="n">
        <v>59</v>
      </c>
      <c r="B66" s="19" t="s">
        <v>353</v>
      </c>
      <c r="C66" s="20" t="s">
        <v>354</v>
      </c>
      <c r="D66" s="21" t="s">
        <v>355</v>
      </c>
      <c r="E66" s="22" t="s">
        <v>356</v>
      </c>
      <c r="F66" s="23" t="s">
        <v>312</v>
      </c>
      <c r="G66" s="24" t="s">
        <v>313</v>
      </c>
      <c r="H66" s="25"/>
      <c r="I66" s="26"/>
    </row>
    <row r="67" spans="1:9" ht="27.75" customHeight="1">
      <c r="A67" s="27" t="n">
        <v>60</v>
      </c>
      <c r="B67" s="28" t="s">
        <v>357</v>
      </c>
      <c r="C67" s="29" t="s">
        <v>358</v>
      </c>
      <c r="D67" s="30" t="s">
        <v>359</v>
      </c>
      <c r="E67" s="22" t="s">
        <v>360</v>
      </c>
      <c r="F67" s="23" t="s">
        <v>312</v>
      </c>
      <c r="G67" s="24" t="s">
        <v>313</v>
      </c>
      <c r="H67" s="32"/>
      <c r="I67" s="33"/>
    </row>
    <row r="68" spans="1:9" ht="27.75" customHeight="1">
      <c r="A68" s="18" t="n">
        <v>61</v>
      </c>
      <c r="B68" s="19" t="s">
        <v>361</v>
      </c>
      <c r="C68" s="20" t="s">
        <v>362</v>
      </c>
      <c r="D68" s="21" t="s">
        <v>363</v>
      </c>
      <c r="E68" s="22" t="s">
        <v>364</v>
      </c>
      <c r="F68" s="23" t="s">
        <v>312</v>
      </c>
      <c r="G68" s="24" t="s">
        <v>313</v>
      </c>
      <c r="H68" s="25"/>
      <c r="I68" s="26"/>
    </row>
    <row r="69" spans="1:9" ht="27.75" customHeight="1">
      <c r="A69" s="27" t="n">
        <v>62</v>
      </c>
      <c r="B69" s="28" t="s">
        <v>365</v>
      </c>
      <c r="C69" s="29" t="s">
        <v>366</v>
      </c>
      <c r="D69" s="30" t="s">
        <v>367</v>
      </c>
      <c r="E69" s="22" t="s">
        <v>368</v>
      </c>
      <c r="F69" s="23" t="s">
        <v>312</v>
      </c>
      <c r="G69" s="24" t="s">
        <v>313</v>
      </c>
      <c r="H69" s="32"/>
      <c r="I69" s="33"/>
    </row>
    <row r="70" spans="1:9" ht="27.75" customHeight="1">
      <c r="A70" s="18" t="n">
        <v>63</v>
      </c>
      <c r="B70" s="19" t="s">
        <v>369</v>
      </c>
      <c r="C70" s="20" t="s">
        <v>370</v>
      </c>
      <c r="D70" s="21" t="s">
        <v>371</v>
      </c>
      <c r="E70" s="34" t="s">
        <v>372</v>
      </c>
      <c r="F70" s="23" t="s">
        <v>312</v>
      </c>
      <c r="G70" s="24" t="s">
        <v>313</v>
      </c>
      <c r="H70" s="25"/>
      <c r="I70" s="26" t="s">
        <v>373</v>
      </c>
    </row>
    <row r="71" spans="1:9" ht="27.75" customHeight="1">
      <c r="A71" s="27" t="n">
        <v>64</v>
      </c>
      <c r="B71" s="28" t="s">
        <v>374</v>
      </c>
      <c r="C71" s="29" t="s">
        <v>375</v>
      </c>
      <c r="D71" s="30" t="s">
        <v>376</v>
      </c>
      <c r="E71" s="22" t="s">
        <v>377</v>
      </c>
      <c r="F71" s="23" t="s">
        <v>312</v>
      </c>
      <c r="G71" s="24" t="s">
        <v>313</v>
      </c>
      <c r="H71" s="32"/>
      <c r="I71" s="33"/>
    </row>
    <row r="72" spans="1:9" ht="27.75" customHeight="1">
      <c r="A72" s="18" t="n">
        <v>65</v>
      </c>
      <c r="B72" s="19" t="s">
        <v>378</v>
      </c>
      <c r="C72" s="20" t="s">
        <v>379</v>
      </c>
      <c r="D72" s="21" t="s">
        <v>380</v>
      </c>
      <c r="E72" s="22" t="s">
        <v>381</v>
      </c>
      <c r="F72" s="23" t="s">
        <v>312</v>
      </c>
      <c r="G72" s="24" t="s">
        <v>313</v>
      </c>
      <c r="H72" s="25"/>
      <c r="I72" s="26"/>
    </row>
    <row r="73" spans="1:9" ht="27.75" customHeight="1">
      <c r="A73" s="27" t="n">
        <v>66</v>
      </c>
      <c r="B73" s="28" t="s">
        <v>382</v>
      </c>
      <c r="C73" s="29" t="s">
        <v>383</v>
      </c>
      <c r="D73" s="30" t="s">
        <v>384</v>
      </c>
      <c r="E73" s="22" t="s">
        <v>385</v>
      </c>
      <c r="F73" s="23" t="s">
        <v>312</v>
      </c>
      <c r="G73" s="24" t="s">
        <v>313</v>
      </c>
      <c r="H73" s="32"/>
      <c r="I73" s="33"/>
    </row>
    <row r="74" spans="1:9" ht="27.75" customHeight="1">
      <c r="A74" s="18" t="n">
        <v>67</v>
      </c>
      <c r="B74" s="19" t="s">
        <v>386</v>
      </c>
      <c r="C74" s="20" t="s">
        <v>387</v>
      </c>
      <c r="D74" s="21" t="s">
        <v>388</v>
      </c>
      <c r="E74" s="34" t="s">
        <v>389</v>
      </c>
      <c r="F74" s="23" t="s">
        <v>312</v>
      </c>
      <c r="G74" s="24" t="s">
        <v>313</v>
      </c>
      <c r="H74" s="25"/>
      <c r="I74" s="26"/>
    </row>
    <row r="75" spans="1:9" ht="27.75" customHeight="1">
      <c r="A75" s="27" t="n">
        <v>68</v>
      </c>
      <c r="B75" s="28" t="s">
        <v>390</v>
      </c>
      <c r="C75" s="29" t="s">
        <v>391</v>
      </c>
      <c r="D75" s="30" t="s">
        <v>392</v>
      </c>
      <c r="E75" s="34" t="s">
        <v>393</v>
      </c>
      <c r="F75" s="23" t="s">
        <v>312</v>
      </c>
      <c r="G75" s="24" t="s">
        <v>313</v>
      </c>
      <c r="H75" s="32"/>
      <c r="I75" s="33"/>
    </row>
  </sheetData>
  <mergeCells count="10">
    <mergeCell ref="A1:I1"/>
    <mergeCell ref="A2:I2"/>
    <mergeCell ref="A4:B4"/>
    <mergeCell ref="C4:D4"/>
    <mergeCell ref="E4:F4"/>
    <mergeCell ref="G4:H4"/>
    <mergeCell ref="A5:B5"/>
    <mergeCell ref="C5:D5"/>
    <mergeCell ref="E5:F5"/>
    <mergeCell ref="G5:H5"/>
  </mergeCells>
  <dataValidations count="1">
    <dataValidation sqref="F8:F95" type="list" operator="between" errorStyle="stop" allowBlank="1" showErrorMessage="1" errorTitle="Status inválido" error="Selecione um status da lista." view="0">
      <mc:AlternateContent xmlns:x12ac="http://schemas.microsoft.com/office/spreadsheetml/2011/1/ac" xmlns:mc="http://schemas.openxmlformats.org/markup-compatibility/2006">
        <mc:Choice Requires="x12ac">
          <x12ac:list>Pendente,"Em andamento",Aprovado,Falhou,Bloqueado</x12ac:list>
        </mc:Choice>
        <mc:Fallback>
          <formula1>"Pendente,Em andamento,Aprovado,Falhou,Bloqueado"</formula1>
        </mc:Fallback>
      </mc:AlternateContent>
    </dataValidation>
  </dataValidations>
  <printOptions>
    <extLst>
      <ext uri="smNativeData">
        <pm:pageFlags xmlns:pm="smNativeData" id="1777598330" printRowHead="0" printColHead="0" printHeadLine="0" printFootLine="0" autoHeightHeader="0" autoHeightFooter="0" fitToPageBoth="0"/>
      </ext>
    </extLst>
  </printOptions>
  <pageMargins left="0.700000" right="0.700000" top="0.750000" bottom="0.750000" header="0.511806" footer="0.511806"/>
  <pageSetup paperSize="9" fitToWidth="1" fitToHeight="1" pageOrder="overThenDown"/>
  <headerFooter>
    <extLst>
      <ext uri="smNativeData">
        <pm:header xmlns:pm="smNativeData" id="1777598330" l="56" r="56" t="56" b="56" borderId="0" fillId="0" vertical="0"/>
        <pm:footer xmlns:pm="smNativeData" id="1777598330" l="56" r="56" t="56" b="56" borderId="0" fillId="0" vertical="2"/>
        <pm:paperBin xmlns:pm="smNativeData" id="1777598330" Id="0" type="0" value="0"/>
        <pm:paperBin xmlns:pm="smNativeData" id="1777598330" Id="1" type="0" value="0"/>
      </ext>
    </extLst>
  </headerFooter>
  <extLst>
    <ext uri="smNativeData">
      <pm:sheetPrefs xmlns:pm="smNativeData" day="1777598330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>
  <sheetPr>
    <tabColor rgb="1B2A4A"/>
  </sheetPr>
  <dimension ref="A1:E8"/>
  <sheetViews>
    <sheetView showGridLines="0" view="normal" workbookViewId="0">
      <selection activeCell="A1" sqref="A1"/>
    </sheetView>
  </sheetViews>
  <sheetFormatPr defaultRowHeight="15.40"/>
  <cols>
    <col min="1" max="1" width="15.000000" customWidth="1" style="0"/>
    <col min="2" max="2" width="39.321429" customWidth="1" style="0"/>
    <col min="4" max="4" width="12.107143" customWidth="1" style="0"/>
    <col min="5" max="5" width="39.321429" customWidth="1" style="0"/>
  </cols>
  <sheetData>
    <row r="1" spans="1:5" ht="17.25" customHeight="1">
      <c r="A1" s="36" t="s">
        <v>394</v>
      </c>
      <c r="B1" s="37"/>
      <c r="C1" s="37"/>
      <c r="D1" s="37"/>
      <c r="E1" s="37"/>
    </row>
    <row r="2" spans="1:1" ht="13.80" customHeight="1"/>
    <row r="3" spans="1:5" ht="14.90" customHeight="1">
      <c r="A3" s="38" t="s">
        <v>395</v>
      </c>
      <c r="B3" s="38" t="s">
        <v>396</v>
      </c>
      <c r="D3" s="38" t="s">
        <v>397</v>
      </c>
      <c r="E3" s="38" t="s">
        <v>398</v>
      </c>
    </row>
    <row r="4" spans="1:5" ht="28.50" customHeight="1">
      <c r="A4" s="39" t="s">
        <v>399</v>
      </c>
      <c r="B4" s="39" t="s">
        <v>400</v>
      </c>
      <c r="D4" s="39" t="s">
        <v>401</v>
      </c>
      <c r="E4" s="39" t="s">
        <v>402</v>
      </c>
    </row>
    <row r="5" spans="1:5" ht="28.50" customHeight="1">
      <c r="A5" s="39" t="s">
        <v>403</v>
      </c>
      <c r="B5" s="39" t="s">
        <v>404</v>
      </c>
      <c r="D5" s="39" t="s">
        <v>405</v>
      </c>
      <c r="E5" s="39" t="s">
        <v>406</v>
      </c>
    </row>
    <row r="6" spans="1:5" ht="28.50" customHeight="1">
      <c r="A6" s="39" t="s">
        <v>407</v>
      </c>
      <c r="B6" s="39" t="s">
        <v>408</v>
      </c>
      <c r="D6" s="39" t="s">
        <v>409</v>
      </c>
      <c r="E6" s="39" t="s">
        <v>410</v>
      </c>
    </row>
    <row r="7" spans="1:2" ht="28.50" customHeight="1">
      <c r="A7" s="39" t="s">
        <v>411</v>
      </c>
      <c r="B7" s="39" t="s">
        <v>412</v>
      </c>
    </row>
    <row r="8" spans="1:2" ht="28.50" customHeight="1">
      <c r="A8" s="39" t="s">
        <v>413</v>
      </c>
      <c r="B8" s="39" t="s">
        <v>414</v>
      </c>
    </row>
  </sheetData>
  <printOptions>
    <extLst>
      <ext uri="smNativeData">
        <pm:pageFlags xmlns:pm="smNativeData" id="1777598330" printRowHead="0" printColHead="0" printHeadLine="0" printFootLine="0" autoHeightHeader="0" autoHeightFooter="0" fitToPageBoth="0"/>
      </ext>
    </extLst>
  </printOptions>
  <pageMargins left="0.700000" right="0.700000" top="0.750000" bottom="0.750000" header="0.511806" footer="0.511806"/>
  <pageSetup paperSize="9" fitToWidth="1" fitToHeight="1" pageOrder="overThenDown"/>
  <headerFooter>
    <extLst>
      <ext uri="smNativeData">
        <pm:header xmlns:pm="smNativeData" id="1777598330" l="56" r="56" t="56" b="56" borderId="0" fillId="0" vertical="0"/>
        <pm:footer xmlns:pm="smNativeData" id="1777598330" l="56" r="56" t="56" b="56" borderId="0" fillId="0" vertical="2"/>
        <pm:paperBin xmlns:pm="smNativeData" id="1777598330" Id="0" type="0" value="0"/>
        <pm:paperBin xmlns:pm="smNativeData" id="1777598330" Id="1" type="0" value="0"/>
      </ext>
    </extLst>
  </headerFooter>
  <extLst>
    <ext uri="smNativeData">
      <pm:sheetPrefs xmlns:pm="smNativeData" day="1777598330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iuryr</cp:lastModifiedBy>
  <cp:revision>0</cp:revision>
  <dcterms:created xsi:type="dcterms:W3CDTF">2026-04-29T20:11:04Z</dcterms:created>
  <dcterms:modified xsi:type="dcterms:W3CDTF">2026-05-01T01:18:50Z</dcterms:modified>
</cp:coreProperties>
</file>